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2be179d3cb3a44f5" Type="http://schemas.microsoft.com/office/2007/relationships/ui/extensibility" Target="customUI/customUI14.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Dropbox\2018-10-04 - Puente Matanzas\Memoria de cálculo\Estribo\"/>
    </mc:Choice>
  </mc:AlternateContent>
  <bookViews>
    <workbookView xWindow="0" yWindow="0" windowWidth="21576" windowHeight="7848"/>
  </bookViews>
  <sheets>
    <sheet name="abutment" sheetId="2" r:id="rId1"/>
    <sheet name="Verificación" sheetId="14" r:id="rId2"/>
    <sheet name="Aleta" sheetId="13" r:id="rId3"/>
  </sheets>
  <externalReferences>
    <externalReference r:id="rId4"/>
  </externalReferences>
  <definedNames>
    <definedName name="A_losa" localSheetId="0">abutment!$G$103</definedName>
    <definedName name="Altura_aleta_estribo" localSheetId="0">abutment!$G$96</definedName>
    <definedName name="Altura_base_estribo" localSheetId="0">abutment!$G$73</definedName>
    <definedName name="Altura_espaldar_estribo" localSheetId="0">abutment!$G$82</definedName>
    <definedName name="Altura_estribo" localSheetId="0">abutment!$G$61</definedName>
    <definedName name="Altura_frenado" localSheetId="0">abutment!$G$203</definedName>
    <definedName name="Altura_talón_estribo" localSheetId="0">abutment!$G$78</definedName>
    <definedName name="Altura_tope_estribo" localSheetId="0">abutment!$G$89</definedName>
    <definedName name="Altura_vástago_estribo" localSheetId="0">abutment!$G$67</definedName>
    <definedName name="altura_viga" localSheetId="0">abutment!$G$107</definedName>
    <definedName name="Ancho_aleta_estribo" localSheetId="0">abutment!$G$97</definedName>
    <definedName name="Ancho_base_estribo" localSheetId="0">abutment!$G$72</definedName>
    <definedName name="Ancho_carpeta_asfáltica" localSheetId="0">abutment!$G$111</definedName>
    <definedName name="Ancho_estribo" localSheetId="0">abutment!$G$63</definedName>
    <definedName name="Ancho_talón_estribo" localSheetId="0">abutment!$G$77</definedName>
    <definedName name="Ancho_tope_estribo" localSheetId="0">abutment!$G$91</definedName>
    <definedName name="Área_andén" localSheetId="0">abutment!$G$108</definedName>
    <definedName name="Área_bordillo" localSheetId="0">abutment!$G$109</definedName>
    <definedName name="base_viga" localSheetId="0">abutment!$G$106</definedName>
    <definedName name="BR" localSheetId="0">abutment!$G$199</definedName>
    <definedName name="BR_1" localSheetId="0">abutment!$G$191</definedName>
    <definedName name="BR_2" localSheetId="0">abutment!$G$195</definedName>
    <definedName name="Cantidad_aletas_estribo" localSheetId="0">abutment!$G$95</definedName>
    <definedName name="Cantidad_topes_estribo" localSheetId="0">abutment!$G$88</definedName>
    <definedName name="Cantidad_vigas" localSheetId="0">abutment!$G$105</definedName>
    <definedName name="Carga_camión" localSheetId="0">abutment!Carga_primer_eje_camión+abutment!Carga_segundo_eje_camión+abutment!Carga_tercer_eje_camión</definedName>
    <definedName name="Carga_camión_estribo" localSheetId="0">abutment!$G$161</definedName>
    <definedName name="Carga_carril" localSheetId="0">abutment!$G$157</definedName>
    <definedName name="Carga_carril_estribo" localSheetId="0">abutment!$G$169</definedName>
    <definedName name="Carga_primer_eje_camión" localSheetId="0">abutment!$G$145</definedName>
    <definedName name="Carga_primer_eje_tándem" localSheetId="0">abutment!$G$152</definedName>
    <definedName name="Carga_primer_eje_tándem">#REF!</definedName>
    <definedName name="Carga_segundo_eje_camión" localSheetId="0">abutment!$G$146</definedName>
    <definedName name="Carga_segundo_eje_tándem" localSheetId="0">abutment!$G$153</definedName>
    <definedName name="Carga_segundo_eje_tándem">#REF!</definedName>
    <definedName name="Carga_tándem" localSheetId="0">abutment!Carga_primer_eje_tándem+abutment!Carga_segundo_eje_tándem</definedName>
    <definedName name="Carga_tercer_eje_camión" localSheetId="0">abutment!$G$147</definedName>
    <definedName name="DC" localSheetId="0">abutment!$G$133</definedName>
    <definedName name="DC_estribo" localSheetId="0">abutment!$C$216</definedName>
    <definedName name="DC_estribo">#REF!</definedName>
    <definedName name="DC_losa" localSheetId="0">abutment!$G$116</definedName>
    <definedName name="DC_relleno" localSheetId="0">abutment!$C$229</definedName>
    <definedName name="DC_sobreimpuestas" localSheetId="0">abutment!$G$124</definedName>
    <definedName name="DC_vigas" localSheetId="0">abutment!$G$120</definedName>
    <definedName name="DC_XA_estribo" localSheetId="0">abutment!$F$216</definedName>
    <definedName name="DC_XA_relleno" localSheetId="0">abutment!$F$229</definedName>
    <definedName name="DC_YA_estribo" localSheetId="0">abutment!$G$216</definedName>
    <definedName name="DC_YA_relleno" localSheetId="0">abutment!$G$229</definedName>
    <definedName name="Distancia_base_espaldar" localSheetId="0">abutment!$G$84</definedName>
    <definedName name="Distancia_primer_segundo_eje_camión" localSheetId="0">abutment!$G$148</definedName>
    <definedName name="Distancia_primer_segundo_eje_tándem" localSheetId="0">abutment!$G$154</definedName>
    <definedName name="Distancia_segundo_tercer_eje_camión" localSheetId="0">abutment!$G$149</definedName>
    <definedName name="DW" localSheetId="0">abutment!$G$128</definedName>
    <definedName name="DW_por_longitud" localSheetId="0">abutment!$G$137</definedName>
    <definedName name="Espesor_aleta_base_estribo" localSheetId="0">abutment!$G$98</definedName>
    <definedName name="Espesor_aleta_corona_estribo" localSheetId="0">abutment!$G$99</definedName>
    <definedName name="Espesor_carpeta_asfáltica" localSheetId="0">abutment!$G$112</definedName>
    <definedName name="Espesor_espaldar_estribo" localSheetId="0">abutment!$G$83</definedName>
    <definedName name="Espesor_vástago_estribo" localSheetId="0">abutment!$G$68</definedName>
    <definedName name="Factor_carga_dinámica" localSheetId="0">abutment!$G$173</definedName>
    <definedName name="Factor_presencia_múltiple" localSheetId="0">abutment!$G$174</definedName>
    <definedName name="fc" localSheetId="2">21100</definedName>
    <definedName name="fig_ang_estribos" localSheetId="0">abutment!$B$392:$G$394</definedName>
    <definedName name="fig_armadura_retraccion_vastago" localSheetId="0">abutment!$B$896:$H$896</definedName>
    <definedName name="fig_armadura_retracción_zapata" localSheetId="0">abutment!$B$1076:$H$1076</definedName>
    <definedName name="fig_avaluo_DC" localSheetId="0">abutment!$B$116:$H$116</definedName>
    <definedName name="fig_avaluo_dw" localSheetId="0">abutment!$B$128:$H$128</definedName>
    <definedName name="fig_avaluo_sobreimpuestas" localSheetId="0">abutment!$B$124:$H$124</definedName>
    <definedName name="fig_avaluo_vigas" localSheetId="0">abutment!$B$120:$H$120</definedName>
    <definedName name="fig_carga_viva_estribo_ancho" localSheetId="0">abutment!$B$181:$H$181</definedName>
    <definedName name="fig_centroide_estribo" localSheetId="0">abutment!$B$220:$G$221</definedName>
    <definedName name="fig_centroide_peso_relleno" localSheetId="0">abutment!$B$233:$G$234</definedName>
    <definedName name="fig_clasificacion_sismica" localSheetId="0">abutment!$B$47:$I$55</definedName>
    <definedName name="fig_comb_Fy" localSheetId="0">abutment!$B$571:$J$582</definedName>
    <definedName name="fig_comb_momentos_estabilizacion" localSheetId="0">abutment!$B$588:$J$599</definedName>
    <definedName name="fig_combinaciones_Fx" localSheetId="0">abutment!$B$605:$I$616</definedName>
    <definedName name="fig_dimensiones_estribo" localSheetId="0">abutment!$B$60:$G$99</definedName>
    <definedName name="fig_diseño_armadura_puntera_zapata" localSheetId="0">abutment!$B$985:$C$991</definedName>
    <definedName name="fig_diseño_vastago" localSheetId="0">abutment!$B$854:$C$860</definedName>
    <definedName name="fig_diseño_zarpa_zapata" localSheetId="0">abutment!$B$1050:$C$1056</definedName>
    <definedName name="fig_EH" localSheetId="0">abutment!$B$295:$H$304</definedName>
    <definedName name="fig_esp_min_vas" localSheetId="0">abutment!$B$511:$G$511</definedName>
    <definedName name="fig_excentricidad_evento_extremo_I" localSheetId="0">abutment!$B$672:$J$674</definedName>
    <definedName name="fig_excentricidad_resistencia_I" localSheetId="0">abutment!$B$655:$J$657</definedName>
    <definedName name="fig_Fpga" localSheetId="0">abutment!$B$375:$G$375</definedName>
    <definedName name="fig_fuerza_cortante_diseño_puntera_zapata" localSheetId="0">abutment!$B$998:$H$998</definedName>
    <definedName name="fig_fuerza_cortante_resistente_puntera_zapata" localSheetId="0">abutment!$B$1018:$G$1018</definedName>
    <definedName name="fig_fuerza_superestructura" localSheetId="0">abutment!$B$468:$H$470</definedName>
    <definedName name="fig_fuerzas_superestructura" localSheetId="0">abutment!$B$132:$J$139</definedName>
    <definedName name="fig_Fy_resumen" localSheetId="0">abutment!$B$282:$F$289</definedName>
    <definedName name="fig_Hbu" localSheetId="0">abutment!$B$472:$H$472</definedName>
    <definedName name="fig_info_suelo" localSheetId="0">abutment!$B$13:$I$17</definedName>
    <definedName name="fig_kAE" localSheetId="0">abutment!$B$396:$G$396</definedName>
    <definedName name="fig_kh" localSheetId="0">abutment!$B$381:$G$381</definedName>
    <definedName name="fig_kH0" localSheetId="0">abutment!$B$378:$G$378</definedName>
    <definedName name="fig_kH0__AS" localSheetId="0">abutment!$B$378:$G$378</definedName>
    <definedName name="fig_LS_datos_entrada" localSheetId="0">abutment!$B$250:$J$253</definedName>
    <definedName name="fig_LSx" localSheetId="0">abutment!$B$271:$H$272</definedName>
    <definedName name="fig_LSy" localSheetId="0">abutment!$B$276:$H$277</definedName>
    <definedName name="fig_M_seis" localSheetId="0">abutment!$B$448:$H$448</definedName>
    <definedName name="fig_materiales" localSheetId="0">abutment!$B$7:$E$9</definedName>
    <definedName name="fig_Mhbu" localSheetId="0">abutment!$B$484:$H$484</definedName>
    <definedName name="fig_momento_carga_viva_estribo_ancho" localSheetId="0">abutment!$B$185:$H$185</definedName>
    <definedName name="fig_momento_critico_puntera_zapata" localSheetId="0">abutment!$B$972:$H$977</definedName>
    <definedName name="fig_momento_critico_vastago" localSheetId="0">abutment!$B$871:$H$876</definedName>
    <definedName name="fig_momento_critico_zarpa_zapata" localSheetId="0">abutment!$B$1037:$H$1042</definedName>
    <definedName name="fig_momento_definitivo_diseño_puntera_zapata" localSheetId="0">abutment!$B$982:$H$982</definedName>
    <definedName name="fig_momento_diseño_puntera_zapata" localSheetId="0">abutment!$B$966:$H$966</definedName>
    <definedName name="fig_momento_diseño_zarpa_zapata" localSheetId="0">abutment!$B$1047:$H$1047</definedName>
    <definedName name="fig_momento_ultimo_diseño_vástago" localSheetId="0">abutment!$B$844:$H$844</definedName>
    <definedName name="fig_momento_utimo_zarpa_zapata" localSheetId="0">abutment!$B$1031:$H$1031</definedName>
    <definedName name="fig_momentos_desestabilizacion" localSheetId="0">abutment!$B$622:$I$633</definedName>
    <definedName name="fig_MΔPAE" localSheetId="0">abutment!$B$412:$H$412</definedName>
    <definedName name="fig_PAE" localSheetId="0">abutment!$B$400:$H$400</definedName>
    <definedName name="fig_peso_estribo" localSheetId="0">abutment!$B$210:$G$216</definedName>
    <definedName name="fig_peso_relleno" localSheetId="0">abutment!$B$227:$G$229</definedName>
    <definedName name="fig_PGA" localSheetId="0">abutment!$B$372:$G$372</definedName>
    <definedName name="fig_PIR" localSheetId="0">abutment!$B$418:$H$420</definedName>
    <definedName name="fig_Pseis" localSheetId="0">abutment!$B$424:$J$430</definedName>
    <definedName name="fig_reaacción_carga_viva_estribo" localSheetId="0">abutment!$B$169:$G$169</definedName>
    <definedName name="fig_resistencia_suelo" localSheetId="0">abutment!$B$19:$I$43</definedName>
    <definedName name="fig_resumen_MA" localSheetId="0">abutment!$B$545:$H$556</definedName>
    <definedName name="fig_resumen_momento_sismo" localSheetId="0">abutment!$B$492:$D$494</definedName>
    <definedName name="fig_resumen_momento_vastago" localSheetId="0">abutment!$B$828:$E$833</definedName>
    <definedName name="fig_resumen_Sismo" localSheetId="0">abutment!$B$488:$D$490</definedName>
    <definedName name="fig_separación_contro_agrietamiento" localSheetId="0">abutment!$B$956:$G$956</definedName>
    <definedName name="fig_valores_cortante_zapatas" localSheetId="0">abutment!$B$1005:$H$1006</definedName>
    <definedName name="fig_ver_cortante_puntera_zapata" localSheetId="0">abutment!$B$1022:$J$1022</definedName>
    <definedName name="fig_ver_deslizamiento" localSheetId="0">abutment!$B$778:$G$782</definedName>
    <definedName name="fig_ver_esf_suelo_estado_limite" localSheetId="0">abutment!$A$724:$J$725</definedName>
    <definedName name="fig_ver_esf_suelo_resistencia_ultima" localSheetId="0">abutment!$A$709:$J$711</definedName>
    <definedName name="fig_ver_esp_min_vas" localSheetId="0">abutment!$B$518:$J$518</definedName>
    <definedName name="fig_y_Hbu" localSheetId="0">abutment!$B$479:$G$479</definedName>
    <definedName name="fig_y_Pseis" localSheetId="0">abutment!$B$444:$G$444</definedName>
    <definedName name="fig_y_ΔPAE" localSheetId="0">abutment!$B$408:$H$408</definedName>
    <definedName name="fig_Δp" localSheetId="0">abutment!$B$261:$H$261</definedName>
    <definedName name="fig_ΔPAE" localSheetId="0">abutment!$B$404:$H$404</definedName>
    <definedName name="fig_θ" localSheetId="0">abutment!$B$390:$G$390</definedName>
    <definedName name="fig_θM0" localSheetId="0">abutment!$B$387:$G$387</definedName>
    <definedName name="Fv" localSheetId="0">abutment!$G$53</definedName>
    <definedName name="fy" localSheetId="2">350000</definedName>
    <definedName name="g">9.81</definedName>
    <definedName name="h_eq" localSheetId="0">abutment!$G$253</definedName>
    <definedName name="k" localSheetId="0">abutment!$G$252</definedName>
    <definedName name="k" localSheetId="2">1/3</definedName>
    <definedName name="L_superestuctura" localSheetId="0">abutment!$G$104</definedName>
    <definedName name="Largo_estribo" localSheetId="0">abutment!$G$62</definedName>
    <definedName name="Largo_estribo">#REF!</definedName>
    <definedName name="Largo_tope_estribo" localSheetId="0">abutment!$G$90</definedName>
    <definedName name="LS_X" localSheetId="0">abutment!$G$271</definedName>
    <definedName name="LS_Y" localSheetId="0">abutment!$G$276</definedName>
    <definedName name="Peso_barandas" localSheetId="0">abutment!$G$110</definedName>
    <definedName name="_xlnm.Print_Area" localSheetId="0">abutment!$A$1:$J$1083</definedName>
    <definedName name="_xlnm.Print_Titles" localSheetId="0">abutment!#REF!</definedName>
    <definedName name="qn" localSheetId="0">abutment!$G$15</definedName>
    <definedName name="R_A_DOS_CARRILES" localSheetId="0">abutment!$G$177</definedName>
    <definedName name="R_A_estribo" localSheetId="0">abutment!$G$181</definedName>
    <definedName name="R_A_UN_CARRIL" localSheetId="0">abutment!$G$176</definedName>
    <definedName name="S_1" localSheetId="0">abutment!$G$49</definedName>
    <definedName name="X_A" localSheetId="0">abutment!$G$134</definedName>
    <definedName name="γ_suelo" localSheetId="2">19.6</definedName>
    <definedName name="Δp" localSheetId="0">abutment!$G$261</definedName>
    <definedName name="ϒ_asfálto" localSheetId="0">21.56</definedName>
    <definedName name="ϒ_concreto" localSheetId="0">23.52</definedName>
    <definedName name="ϒ_suelo" localSheetId="0">abutment!$G$14</definedName>
    <definedName name="φ_f" localSheetId="2">0.9</definedName>
    <definedName name="φ1" localSheetId="0">abutment!$G$32</definedName>
    <definedName name="φ2" localSheetId="0">abutment!$G$42</definedName>
    <definedName name="φb" localSheetId="0">abutment!$G$24</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955" i="2" l="1"/>
  <c r="E540" i="2" l="1"/>
  <c r="H195" i="2" l="1"/>
  <c r="H191" i="2"/>
  <c r="G169" i="2"/>
  <c r="H169" i="2"/>
  <c r="G165" i="2"/>
  <c r="G161" i="2"/>
  <c r="G375" i="2"/>
  <c r="G252" i="2"/>
  <c r="G128" i="2"/>
  <c r="G124" i="2"/>
  <c r="G116" i="2"/>
  <c r="G120" i="2"/>
  <c r="G54" i="2" l="1"/>
  <c r="G53" i="2"/>
  <c r="G49" i="2"/>
  <c r="G48" i="2"/>
  <c r="C211" i="2" l="1"/>
  <c r="G103" i="2"/>
  <c r="BI5" i="13" l="1"/>
  <c r="BI6" i="13"/>
  <c r="BI7" i="13"/>
  <c r="BI8" i="13"/>
  <c r="BI9" i="13"/>
  <c r="BI10" i="13"/>
  <c r="BI11" i="13"/>
  <c r="BI12" i="13"/>
  <c r="BI4" i="13"/>
  <c r="BG5" i="13"/>
  <c r="BG6" i="13"/>
  <c r="BG7" i="13"/>
  <c r="BG8" i="13"/>
  <c r="BG9" i="13"/>
  <c r="BG10" i="13"/>
  <c r="BG11" i="13"/>
  <c r="BG12" i="13"/>
  <c r="BG4" i="13"/>
  <c r="BD5" i="13"/>
  <c r="BD6" i="13"/>
  <c r="BD7" i="13"/>
  <c r="BD8" i="13"/>
  <c r="BD9" i="13"/>
  <c r="BD10" i="13"/>
  <c r="BD11" i="13"/>
  <c r="BD12" i="13"/>
  <c r="BF8" i="13"/>
  <c r="BD4" i="13"/>
  <c r="BA4" i="13"/>
  <c r="AX4" i="13"/>
  <c r="AX5" i="13"/>
  <c r="AX6" i="13"/>
  <c r="AX7" i="13"/>
  <c r="AX8" i="13"/>
  <c r="AX9" i="13"/>
  <c r="AX10" i="13"/>
  <c r="AX11" i="13"/>
  <c r="AX12" i="13"/>
  <c r="BE12" i="13"/>
  <c r="BF12" i="13" s="1"/>
  <c r="BE11" i="13"/>
  <c r="BF11" i="13" s="1"/>
  <c r="BE10" i="13"/>
  <c r="BE9" i="13"/>
  <c r="BF9" i="13" s="1"/>
  <c r="BE8" i="13"/>
  <c r="BE7" i="13"/>
  <c r="BF7" i="13" s="1"/>
  <c r="BE6" i="13"/>
  <c r="BE5" i="13"/>
  <c r="BE4" i="13"/>
  <c r="BA12" i="13"/>
  <c r="AY12" i="13"/>
  <c r="AR12" i="13"/>
  <c r="AP12" i="13"/>
  <c r="AS12" i="13" s="1"/>
  <c r="AT12" i="13" s="1"/>
  <c r="AL12" i="13"/>
  <c r="AJ12" i="13"/>
  <c r="AM12" i="13" s="1"/>
  <c r="AF12" i="13"/>
  <c r="AD12" i="13"/>
  <c r="AG12" i="13" s="1"/>
  <c r="AH12" i="13" s="1"/>
  <c r="V12" i="13"/>
  <c r="U12" i="13"/>
  <c r="S12" i="13"/>
  <c r="O12" i="13"/>
  <c r="N12" i="13"/>
  <c r="P12" i="13" s="1"/>
  <c r="K12" i="13"/>
  <c r="I12" i="13"/>
  <c r="J12" i="13" s="1"/>
  <c r="BA11" i="13"/>
  <c r="AY11" i="13"/>
  <c r="AZ11" i="13" s="1"/>
  <c r="AR11" i="13"/>
  <c r="AP11" i="13"/>
  <c r="AS11" i="13" s="1"/>
  <c r="AL11" i="13"/>
  <c r="AJ11" i="13"/>
  <c r="AM11" i="13" s="1"/>
  <c r="AN11" i="13" s="1"/>
  <c r="AF11" i="13"/>
  <c r="AD11" i="13"/>
  <c r="AG11" i="13" s="1"/>
  <c r="V11" i="13"/>
  <c r="U11" i="13"/>
  <c r="S11" i="13"/>
  <c r="O11" i="13"/>
  <c r="N11" i="13"/>
  <c r="P11" i="13" s="1"/>
  <c r="K11" i="13"/>
  <c r="I11" i="13"/>
  <c r="J11" i="13" s="1"/>
  <c r="L11" i="13" s="1"/>
  <c r="BA10" i="13"/>
  <c r="AZ10" i="13"/>
  <c r="AY10" i="13"/>
  <c r="AR10" i="13"/>
  <c r="AP10" i="13"/>
  <c r="AS10" i="13" s="1"/>
  <c r="AT10" i="13" s="1"/>
  <c r="AL10" i="13"/>
  <c r="AJ10" i="13"/>
  <c r="AM10" i="13" s="1"/>
  <c r="AF10" i="13"/>
  <c r="AD10" i="13"/>
  <c r="AG10" i="13" s="1"/>
  <c r="AH10" i="13" s="1"/>
  <c r="V10" i="13"/>
  <c r="U10" i="13"/>
  <c r="S10" i="13"/>
  <c r="O10" i="13"/>
  <c r="N10" i="13"/>
  <c r="K10" i="13"/>
  <c r="I10" i="13"/>
  <c r="J10" i="13" s="1"/>
  <c r="L10" i="13" s="1"/>
  <c r="BA9" i="13"/>
  <c r="AY9" i="13"/>
  <c r="AZ9" i="13" s="1"/>
  <c r="AR9" i="13"/>
  <c r="AP9" i="13"/>
  <c r="AS9" i="13" s="1"/>
  <c r="AL9" i="13"/>
  <c r="AJ9" i="13"/>
  <c r="AM9" i="13" s="1"/>
  <c r="AN9" i="13" s="1"/>
  <c r="AF9" i="13"/>
  <c r="AD9" i="13"/>
  <c r="AG9" i="13" s="1"/>
  <c r="V9" i="13"/>
  <c r="U9" i="13"/>
  <c r="S9" i="13"/>
  <c r="P9" i="13"/>
  <c r="O9" i="13"/>
  <c r="N9" i="13"/>
  <c r="K9" i="13"/>
  <c r="I9" i="13"/>
  <c r="J9" i="13" s="1"/>
  <c r="BA8" i="13"/>
  <c r="AY8" i="13"/>
  <c r="AZ8" i="13" s="1"/>
  <c r="AR8" i="13"/>
  <c r="AP8" i="13"/>
  <c r="AS8" i="13" s="1"/>
  <c r="AL8" i="13"/>
  <c r="AJ8" i="13"/>
  <c r="AM8" i="13" s="1"/>
  <c r="AF8" i="13"/>
  <c r="AD8" i="13"/>
  <c r="AG8" i="13" s="1"/>
  <c r="AH8" i="13" s="1"/>
  <c r="V8" i="13"/>
  <c r="U8" i="13"/>
  <c r="S8" i="13"/>
  <c r="O8" i="13"/>
  <c r="N8" i="13"/>
  <c r="K8" i="13"/>
  <c r="I8" i="13"/>
  <c r="J8" i="13" s="1"/>
  <c r="L8" i="13" s="1"/>
  <c r="BA7" i="13"/>
  <c r="AY7" i="13"/>
  <c r="AZ7" i="13" s="1"/>
  <c r="AR7" i="13"/>
  <c r="AP7" i="13"/>
  <c r="AS7" i="13" s="1"/>
  <c r="AL7" i="13"/>
  <c r="AJ7" i="13"/>
  <c r="AM7" i="13" s="1"/>
  <c r="AN7" i="13" s="1"/>
  <c r="AF7" i="13"/>
  <c r="AD7" i="13"/>
  <c r="AG7" i="13" s="1"/>
  <c r="V7" i="13"/>
  <c r="U7" i="13"/>
  <c r="S7" i="13"/>
  <c r="O7" i="13"/>
  <c r="N7" i="13"/>
  <c r="K7" i="13"/>
  <c r="I7" i="13"/>
  <c r="J7" i="13" s="1"/>
  <c r="BA6" i="13"/>
  <c r="AY6" i="13"/>
  <c r="AZ6" i="13" s="1"/>
  <c r="AR6" i="13"/>
  <c r="AP6" i="13"/>
  <c r="AS6" i="13" s="1"/>
  <c r="AL6" i="13"/>
  <c r="AJ6" i="13"/>
  <c r="AM6" i="13" s="1"/>
  <c r="AF6" i="13"/>
  <c r="AD6" i="13"/>
  <c r="AG6" i="13" s="1"/>
  <c r="AH6" i="13" s="1"/>
  <c r="V6" i="13"/>
  <c r="U6" i="13"/>
  <c r="S6" i="13"/>
  <c r="O6" i="13"/>
  <c r="N6" i="13"/>
  <c r="P6" i="13" s="1"/>
  <c r="K6" i="13"/>
  <c r="I6" i="13"/>
  <c r="J6" i="13" s="1"/>
  <c r="L6" i="13" s="1"/>
  <c r="BA5" i="13"/>
  <c r="AY5" i="13"/>
  <c r="AR5" i="13"/>
  <c r="AP5" i="13"/>
  <c r="AS5" i="13" s="1"/>
  <c r="AL5" i="13"/>
  <c r="AJ5" i="13"/>
  <c r="AM5" i="13" s="1"/>
  <c r="AN5" i="13" s="1"/>
  <c r="AF5" i="13"/>
  <c r="AD5" i="13"/>
  <c r="AG5" i="13" s="1"/>
  <c r="V5" i="13"/>
  <c r="U5" i="13"/>
  <c r="S5" i="13"/>
  <c r="P5" i="13"/>
  <c r="O5" i="13"/>
  <c r="N5" i="13"/>
  <c r="K5" i="13"/>
  <c r="I5" i="13"/>
  <c r="J5" i="13" s="1"/>
  <c r="AY4" i="13"/>
  <c r="AZ4" i="13" s="1"/>
  <c r="AR4" i="13"/>
  <c r="AP4" i="13"/>
  <c r="AS4" i="13" s="1"/>
  <c r="AL4" i="13"/>
  <c r="AJ4" i="13"/>
  <c r="AM4" i="13" s="1"/>
  <c r="AF4" i="13"/>
  <c r="AD4" i="13"/>
  <c r="AG4" i="13" s="1"/>
  <c r="V4" i="13"/>
  <c r="U4" i="13"/>
  <c r="S4" i="13"/>
  <c r="O4" i="13"/>
  <c r="N4" i="13"/>
  <c r="P4" i="13" s="1"/>
  <c r="K4" i="13"/>
  <c r="I4" i="13"/>
  <c r="J4" i="13" s="1"/>
  <c r="L4" i="13" s="1"/>
  <c r="BF10" i="13" l="1"/>
  <c r="AT4" i="13"/>
  <c r="AT8" i="13"/>
  <c r="BF6" i="13"/>
  <c r="AZ12" i="13"/>
  <c r="BF5" i="13"/>
  <c r="AH7" i="13"/>
  <c r="AN4" i="13"/>
  <c r="AT5" i="13"/>
  <c r="AN6" i="13"/>
  <c r="Q11" i="13"/>
  <c r="T11" i="13" s="1"/>
  <c r="AH5" i="13"/>
  <c r="AT7" i="13"/>
  <c r="Q8" i="13"/>
  <c r="T8" i="13" s="1"/>
  <c r="W8" i="13" s="1"/>
  <c r="X8" i="13" s="1"/>
  <c r="Z8" i="13" s="1"/>
  <c r="AA8" i="13" s="1"/>
  <c r="AQ8" i="13" s="1"/>
  <c r="AU8" i="13" s="1"/>
  <c r="AT9" i="13"/>
  <c r="Q6" i="13"/>
  <c r="T6" i="13" s="1"/>
  <c r="W6" i="13" s="1"/>
  <c r="X6" i="13" s="1"/>
  <c r="Z6" i="13" s="1"/>
  <c r="AA6" i="13" s="1"/>
  <c r="AK6" i="13" s="1"/>
  <c r="AO6" i="13" s="1"/>
  <c r="AH4" i="13"/>
  <c r="AZ5" i="13"/>
  <c r="AT6" i="13"/>
  <c r="P7" i="13"/>
  <c r="P8" i="13"/>
  <c r="P10" i="13"/>
  <c r="Q10" i="13" s="1"/>
  <c r="T10" i="13" s="1"/>
  <c r="W10" i="13" s="1"/>
  <c r="X10" i="13" s="1"/>
  <c r="Z10" i="13" s="1"/>
  <c r="AA10" i="13" s="1"/>
  <c r="AN10" i="13"/>
  <c r="L12" i="13"/>
  <c r="Q12" i="13" s="1"/>
  <c r="T12" i="13" s="1"/>
  <c r="W12" i="13" s="1"/>
  <c r="X12" i="13" s="1"/>
  <c r="Z12" i="13" s="1"/>
  <c r="AA12" i="13" s="1"/>
  <c r="AK12" i="13" s="1"/>
  <c r="AO12" i="13" s="1"/>
  <c r="BF4" i="13"/>
  <c r="AQ6" i="13"/>
  <c r="AU6" i="13" s="1"/>
  <c r="AE6" i="13"/>
  <c r="AI6" i="13" s="1"/>
  <c r="AK8" i="13"/>
  <c r="AO8" i="13" s="1"/>
  <c r="Q4" i="13"/>
  <c r="T4" i="13" s="1"/>
  <c r="W4" i="13" s="1"/>
  <c r="X4" i="13" s="1"/>
  <c r="Z4" i="13" s="1"/>
  <c r="AA4" i="13" s="1"/>
  <c r="W11" i="13"/>
  <c r="X11" i="13" s="1"/>
  <c r="Z11" i="13" s="1"/>
  <c r="AA11" i="13" s="1"/>
  <c r="L7" i="13"/>
  <c r="Q7" i="13" s="1"/>
  <c r="T7" i="13" s="1"/>
  <c r="W7" i="13" s="1"/>
  <c r="X7" i="13" s="1"/>
  <c r="Z7" i="13" s="1"/>
  <c r="AA7" i="13" s="1"/>
  <c r="AH9" i="13"/>
  <c r="AN12" i="13"/>
  <c r="L5" i="13"/>
  <c r="Q5" i="13" s="1"/>
  <c r="T5" i="13" s="1"/>
  <c r="W5" i="13" s="1"/>
  <c r="X5" i="13" s="1"/>
  <c r="Z5" i="13" s="1"/>
  <c r="AA5" i="13" s="1"/>
  <c r="AN8" i="13"/>
  <c r="L9" i="13"/>
  <c r="Q9" i="13" s="1"/>
  <c r="T9" i="13" s="1"/>
  <c r="W9" i="13" s="1"/>
  <c r="X9" i="13" s="1"/>
  <c r="Z9" i="13" s="1"/>
  <c r="AA9" i="13" s="1"/>
  <c r="AH11" i="13"/>
  <c r="AT11" i="13"/>
  <c r="AQ12" i="13"/>
  <c r="AU12" i="13" s="1"/>
  <c r="AE12" i="13"/>
  <c r="AI12" i="13" s="1"/>
  <c r="AE10" i="13" l="1"/>
  <c r="AI10" i="13" s="1"/>
  <c r="AK10" i="13"/>
  <c r="AO10" i="13" s="1"/>
  <c r="AQ10" i="13"/>
  <c r="AU10" i="13" s="1"/>
  <c r="AE8" i="13"/>
  <c r="AI8" i="13" s="1"/>
  <c r="AK7" i="13"/>
  <c r="AO7" i="13" s="1"/>
  <c r="AQ7" i="13"/>
  <c r="AU7" i="13" s="1"/>
  <c r="AE7" i="13"/>
  <c r="AI7" i="13" s="1"/>
  <c r="AQ4" i="13"/>
  <c r="AU4" i="13" s="1"/>
  <c r="AE4" i="13"/>
  <c r="AI4" i="13" s="1"/>
  <c r="AK4" i="13"/>
  <c r="AO4" i="13" s="1"/>
  <c r="AK9" i="13"/>
  <c r="AO9" i="13" s="1"/>
  <c r="AQ9" i="13"/>
  <c r="AU9" i="13" s="1"/>
  <c r="AE9" i="13"/>
  <c r="AI9" i="13" s="1"/>
  <c r="AK5" i="13"/>
  <c r="AO5" i="13" s="1"/>
  <c r="AQ5" i="13"/>
  <c r="AU5" i="13" s="1"/>
  <c r="AE5" i="13"/>
  <c r="AI5" i="13" s="1"/>
  <c r="AK11" i="13"/>
  <c r="AO11" i="13" s="1"/>
  <c r="AQ11" i="13"/>
  <c r="AU11" i="13" s="1"/>
  <c r="AE11" i="13"/>
  <c r="AI11" i="13" s="1"/>
  <c r="B860" i="2" l="1"/>
  <c r="M1075" i="2" l="1"/>
  <c r="B1056" i="2"/>
  <c r="M1047" i="2"/>
  <c r="N981" i="2"/>
  <c r="B991" i="2"/>
  <c r="L862" i="2"/>
  <c r="L897" i="2"/>
  <c r="G871" i="2"/>
  <c r="G775" i="2"/>
  <c r="G702" i="2"/>
  <c r="H592" i="2"/>
  <c r="G390" i="2" l="1"/>
  <c r="G372" i="2"/>
  <c r="G295" i="2"/>
  <c r="G225" i="2"/>
  <c r="G50" i="2"/>
  <c r="G408" i="2" l="1"/>
  <c r="G299" i="2"/>
  <c r="G300" i="2"/>
  <c r="E537" i="2" s="1"/>
  <c r="G1072" i="2"/>
  <c r="G1070" i="2"/>
  <c r="M1059" i="2"/>
  <c r="M1056" i="2"/>
  <c r="M1058" i="2" s="1"/>
  <c r="H1042" i="2"/>
  <c r="G1037" i="2"/>
  <c r="A1026" i="2"/>
  <c r="A1061" i="2" s="1"/>
  <c r="M994" i="2"/>
  <c r="M991" i="2"/>
  <c r="M993" i="2" s="1"/>
  <c r="H977" i="2"/>
  <c r="G972" i="2"/>
  <c r="G926" i="2"/>
  <c r="H876" i="2"/>
  <c r="A865" i="2"/>
  <c r="A879" i="2" s="1"/>
  <c r="A900" i="2" s="1"/>
  <c r="A958" i="2" s="1"/>
  <c r="M858" i="2"/>
  <c r="M855" i="2"/>
  <c r="M857" i="2" s="1"/>
  <c r="G776" i="2"/>
  <c r="G706" i="2"/>
  <c r="I711" i="2" s="1"/>
  <c r="A694" i="2"/>
  <c r="A727" i="2" s="1"/>
  <c r="A649" i="2"/>
  <c r="A647" i="2"/>
  <c r="A663" i="2" s="1"/>
  <c r="A676" i="2" s="1"/>
  <c r="A739" i="2" s="1"/>
  <c r="E630" i="2"/>
  <c r="D630" i="2"/>
  <c r="C630" i="2"/>
  <c r="C628" i="2"/>
  <c r="E626" i="2"/>
  <c r="C626" i="2"/>
  <c r="E624" i="2"/>
  <c r="D624" i="2"/>
  <c r="C624" i="2"/>
  <c r="G613" i="2"/>
  <c r="F613" i="2"/>
  <c r="E613" i="2"/>
  <c r="C613" i="2"/>
  <c r="C611" i="2"/>
  <c r="E609" i="2"/>
  <c r="C609" i="2"/>
  <c r="E607" i="2"/>
  <c r="D607" i="2"/>
  <c r="C607" i="2"/>
  <c r="H596" i="2"/>
  <c r="G596" i="2"/>
  <c r="F596" i="2"/>
  <c r="E596" i="2"/>
  <c r="D596" i="2"/>
  <c r="C596" i="2"/>
  <c r="F594" i="2"/>
  <c r="E594" i="2"/>
  <c r="D594" i="2"/>
  <c r="C594" i="2"/>
  <c r="G592" i="2"/>
  <c r="F592" i="2"/>
  <c r="E592" i="2"/>
  <c r="D592" i="2"/>
  <c r="C592" i="2"/>
  <c r="H590" i="2"/>
  <c r="G590" i="2"/>
  <c r="F590" i="2"/>
  <c r="E590" i="2"/>
  <c r="D590" i="2"/>
  <c r="C590" i="2"/>
  <c r="H579" i="2"/>
  <c r="G579" i="2"/>
  <c r="F579" i="2"/>
  <c r="E579" i="2"/>
  <c r="D579" i="2"/>
  <c r="C579" i="2"/>
  <c r="F577" i="2"/>
  <c r="E577" i="2"/>
  <c r="D577" i="2"/>
  <c r="C577" i="2"/>
  <c r="H575" i="2"/>
  <c r="G575" i="2"/>
  <c r="F575" i="2"/>
  <c r="E575" i="2"/>
  <c r="D575" i="2"/>
  <c r="C575" i="2"/>
  <c r="H573" i="2"/>
  <c r="G573" i="2"/>
  <c r="F573" i="2"/>
  <c r="E573" i="2"/>
  <c r="D573" i="2"/>
  <c r="C573" i="2"/>
  <c r="A522" i="2"/>
  <c r="G511" i="2"/>
  <c r="G518" i="2" s="1"/>
  <c r="G503" i="2"/>
  <c r="G444" i="2"/>
  <c r="E538" i="2" s="1"/>
  <c r="G378" i="2"/>
  <c r="G381" i="2" s="1"/>
  <c r="G387" i="2" s="1"/>
  <c r="G396" i="2" s="1"/>
  <c r="G400" i="2" s="1"/>
  <c r="B374" i="2"/>
  <c r="A330" i="2"/>
  <c r="A360" i="2" s="1"/>
  <c r="A384" i="2" s="1"/>
  <c r="A414" i="2" s="1"/>
  <c r="A422" i="2" s="1"/>
  <c r="A328" i="2"/>
  <c r="A450" i="2" s="1"/>
  <c r="A293" i="2"/>
  <c r="A306" i="2" s="1"/>
  <c r="A269" i="2"/>
  <c r="A274" i="2" s="1"/>
  <c r="G253" i="2"/>
  <c r="G251" i="2"/>
  <c r="A223" i="2"/>
  <c r="G137" i="2"/>
  <c r="A114" i="2"/>
  <c r="A118" i="2" s="1"/>
  <c r="A122" i="2" s="1"/>
  <c r="A126" i="2" s="1"/>
  <c r="A130" i="2" s="1"/>
  <c r="A141" i="2" s="1"/>
  <c r="A57" i="2"/>
  <c r="A187" i="2" s="1"/>
  <c r="A206" i="2" s="1"/>
  <c r="A236" i="2" s="1"/>
  <c r="A279" i="2" s="1"/>
  <c r="A291" i="2" s="1"/>
  <c r="A311" i="2" s="1"/>
  <c r="A496" i="2" s="1"/>
  <c r="A520" i="2" s="1"/>
  <c r="A635" i="2" s="1"/>
  <c r="A784" i="2" s="1"/>
  <c r="R54" i="2"/>
  <c r="G43" i="2"/>
  <c r="I720" i="2" s="1"/>
  <c r="G33" i="2"/>
  <c r="I725" i="2" s="1"/>
  <c r="G25" i="2"/>
  <c r="A11" i="2"/>
  <c r="A45" i="2" s="1"/>
  <c r="C547" i="2" l="1"/>
  <c r="E572" i="2" s="1"/>
  <c r="G469" i="2"/>
  <c r="G199" i="2"/>
  <c r="G176" i="2"/>
  <c r="G133" i="2"/>
  <c r="C537" i="2"/>
  <c r="F537" i="2" s="1"/>
  <c r="C554" i="2"/>
  <c r="C606" i="2" s="1"/>
  <c r="C616" i="2" s="1"/>
  <c r="G304" i="2"/>
  <c r="F554" i="2" s="1"/>
  <c r="C623" i="2" s="1"/>
  <c r="G404" i="2"/>
  <c r="I710" i="2"/>
  <c r="G261" i="2"/>
  <c r="G823" i="2" s="1"/>
  <c r="D285" i="2"/>
  <c r="G255" i="2"/>
  <c r="I719" i="2"/>
  <c r="G177" i="2" l="1"/>
  <c r="H177" i="2"/>
  <c r="C540" i="2"/>
  <c r="G204" i="2"/>
  <c r="C546" i="2"/>
  <c r="C572" i="2" s="1"/>
  <c r="G468" i="2"/>
  <c r="C549" i="2"/>
  <c r="E606" i="2" s="1"/>
  <c r="E610" i="2" s="1"/>
  <c r="G815" i="2"/>
  <c r="C832" i="2" s="1"/>
  <c r="G181" i="2"/>
  <c r="C548" i="2" s="1"/>
  <c r="G572" i="2" s="1"/>
  <c r="G412" i="2"/>
  <c r="G271" i="2"/>
  <c r="C610" i="2"/>
  <c r="C612" i="2"/>
  <c r="C608" i="2"/>
  <c r="C614" i="2"/>
  <c r="C629" i="2"/>
  <c r="C631" i="2"/>
  <c r="C633" i="2"/>
  <c r="C627" i="2"/>
  <c r="C625" i="2"/>
  <c r="D284" i="2"/>
  <c r="E580" i="2"/>
  <c r="E576" i="2"/>
  <c r="E582" i="2"/>
  <c r="E578" i="2"/>
  <c r="E574" i="2"/>
  <c r="F540" i="2" l="1"/>
  <c r="F549" i="2"/>
  <c r="E623" i="2" s="1"/>
  <c r="E627" i="2" s="1"/>
  <c r="D287" i="2"/>
  <c r="G580" i="2"/>
  <c r="G582" i="2"/>
  <c r="G578" i="2"/>
  <c r="G574" i="2"/>
  <c r="G576" i="2"/>
  <c r="G470" i="2"/>
  <c r="G472" i="2" s="1"/>
  <c r="G308" i="2"/>
  <c r="G309" i="2" s="1"/>
  <c r="C552" i="2"/>
  <c r="D606" i="2" s="1"/>
  <c r="D612" i="2" s="1"/>
  <c r="G272" i="2"/>
  <c r="E541" i="2" s="1"/>
  <c r="C541" i="2"/>
  <c r="E614" i="2"/>
  <c r="E612" i="2"/>
  <c r="E608" i="2"/>
  <c r="E616" i="2"/>
  <c r="C580" i="2"/>
  <c r="C576" i="2"/>
  <c r="C574" i="2"/>
  <c r="C582" i="2"/>
  <c r="C578" i="2"/>
  <c r="E629" i="2" l="1"/>
  <c r="E625" i="2"/>
  <c r="E633" i="2"/>
  <c r="E631" i="2"/>
  <c r="C556" i="2"/>
  <c r="G606" i="2" s="1"/>
  <c r="G608" i="2" s="1"/>
  <c r="C539" i="2"/>
  <c r="F541" i="2"/>
  <c r="F552" i="2"/>
  <c r="D623" i="2" s="1"/>
  <c r="D627" i="2" s="1"/>
  <c r="D610" i="2"/>
  <c r="D616" i="2"/>
  <c r="D614" i="2"/>
  <c r="D608" i="2"/>
  <c r="G808" i="2"/>
  <c r="C831" i="2" s="1"/>
  <c r="C489" i="2"/>
  <c r="D631" i="2" l="1"/>
  <c r="D625" i="2"/>
  <c r="D633" i="2"/>
  <c r="D629" i="2"/>
  <c r="G612" i="2"/>
  <c r="G616" i="2"/>
  <c r="G610" i="2"/>
  <c r="G614" i="2"/>
  <c r="G798" i="2" l="1"/>
  <c r="G896" i="2" l="1"/>
  <c r="I518" i="2"/>
  <c r="H518" i="2" s="1"/>
  <c r="J518" i="2" s="1"/>
  <c r="D2" i="14" s="1"/>
  <c r="I656" i="2"/>
  <c r="I657" i="2"/>
  <c r="G824" i="2"/>
  <c r="C833" i="2" s="1"/>
  <c r="I673" i="2"/>
  <c r="I674" i="2"/>
  <c r="C213" i="2"/>
  <c r="D214" i="2"/>
  <c r="C214" i="2"/>
  <c r="D213" i="2"/>
  <c r="I1010" i="2"/>
  <c r="G134" i="2"/>
  <c r="E284" i="2" s="1"/>
  <c r="G872" i="2"/>
  <c r="G876" i="2" s="1"/>
  <c r="B851" i="2"/>
  <c r="D212" i="2"/>
  <c r="C856" i="2"/>
  <c r="G1071" i="2"/>
  <c r="C1052" i="2"/>
  <c r="G1018" i="2"/>
  <c r="G1022" i="2" s="1"/>
  <c r="C829" i="2"/>
  <c r="C987" i="2"/>
  <c r="G799" i="2"/>
  <c r="D829" i="2" s="1"/>
  <c r="G1038" i="2"/>
  <c r="G1042" i="2" s="1"/>
  <c r="G1014" i="2"/>
  <c r="G973" i="2"/>
  <c r="G977" i="2" s="1"/>
  <c r="B793" i="2"/>
  <c r="E211" i="2"/>
  <c r="G804" i="2"/>
  <c r="D830" i="2" s="1"/>
  <c r="G1010" i="2"/>
  <c r="G825" i="2"/>
  <c r="D833" i="2" s="1"/>
  <c r="G276" i="2"/>
  <c r="L898" i="2" l="1"/>
  <c r="B898" i="2"/>
  <c r="G1076" i="2"/>
  <c r="B1078" i="2" s="1"/>
  <c r="H1010" i="2"/>
  <c r="G277" i="2"/>
  <c r="C553" i="2"/>
  <c r="C228" i="2"/>
  <c r="E228" i="2"/>
  <c r="E833" i="2"/>
  <c r="D228" i="2"/>
  <c r="E215" i="2"/>
  <c r="D215" i="2"/>
  <c r="G211" i="2"/>
  <c r="D211" i="2"/>
  <c r="E829" i="2"/>
  <c r="D288" i="2"/>
  <c r="I1048" i="2"/>
  <c r="F213" i="2"/>
  <c r="F214" i="2"/>
  <c r="E287" i="2"/>
  <c r="F287" i="2" s="1"/>
  <c r="G185" i="2"/>
  <c r="F548" i="2" s="1"/>
  <c r="G589" i="2" s="1"/>
  <c r="G139" i="2"/>
  <c r="F547" i="2" s="1"/>
  <c r="E589" i="2" s="1"/>
  <c r="G138" i="2"/>
  <c r="G135" i="2"/>
  <c r="F546" i="2" s="1"/>
  <c r="C589" i="2" s="1"/>
  <c r="C215" i="2"/>
  <c r="E213" i="2"/>
  <c r="G213" i="2" s="1"/>
  <c r="E214" i="2"/>
  <c r="H572" i="2" l="1"/>
  <c r="H580" i="2" s="1"/>
  <c r="F211" i="2"/>
  <c r="G215" i="2"/>
  <c r="F215" i="2"/>
  <c r="E285" i="2"/>
  <c r="F285" i="2" s="1"/>
  <c r="F284" i="2"/>
  <c r="C229" i="2"/>
  <c r="F228" i="2"/>
  <c r="F229" i="2" s="1"/>
  <c r="E591" i="2"/>
  <c r="E595" i="2"/>
  <c r="E593" i="2"/>
  <c r="E597" i="2"/>
  <c r="E599" i="2"/>
  <c r="C212" i="2"/>
  <c r="G214" i="2"/>
  <c r="E212" i="2"/>
  <c r="G479" i="2"/>
  <c r="G593" i="2"/>
  <c r="G591" i="2"/>
  <c r="G595" i="2"/>
  <c r="G599" i="2"/>
  <c r="G597" i="2"/>
  <c r="G228" i="2"/>
  <c r="G229" i="2" s="1"/>
  <c r="C591" i="2"/>
  <c r="C595" i="2"/>
  <c r="C597" i="2"/>
  <c r="C599" i="2"/>
  <c r="C593" i="2"/>
  <c r="E288" i="2"/>
  <c r="F288" i="2" s="1"/>
  <c r="F553" i="2"/>
  <c r="H589" i="2" s="1"/>
  <c r="G819" i="2"/>
  <c r="D832" i="2" s="1"/>
  <c r="E832" i="2" s="1"/>
  <c r="G925" i="2" s="1"/>
  <c r="G809" i="2"/>
  <c r="D831" i="2" s="1"/>
  <c r="E831" i="2" s="1"/>
  <c r="G234" i="2" l="1"/>
  <c r="C551" i="2"/>
  <c r="F572" i="2" s="1"/>
  <c r="G484" i="2"/>
  <c r="C493" i="2" s="1"/>
  <c r="E539" i="2"/>
  <c r="F539" i="2" s="1"/>
  <c r="H582" i="2"/>
  <c r="H576" i="2"/>
  <c r="H574" i="2"/>
  <c r="H578" i="2"/>
  <c r="G848" i="2"/>
  <c r="H595" i="2"/>
  <c r="H593" i="2"/>
  <c r="H597" i="2"/>
  <c r="H599" i="2"/>
  <c r="H591" i="2"/>
  <c r="F551" i="2"/>
  <c r="F589" i="2" s="1"/>
  <c r="G233" i="2"/>
  <c r="E286" i="2" s="1"/>
  <c r="F212" i="2"/>
  <c r="F216" i="2" s="1"/>
  <c r="G212" i="2"/>
  <c r="G216" i="2" s="1"/>
  <c r="C216" i="2"/>
  <c r="D286" i="2"/>
  <c r="G418" i="2"/>
  <c r="C550" i="2" l="1"/>
  <c r="D572" i="2" s="1"/>
  <c r="G419" i="2"/>
  <c r="G420" i="2" s="1"/>
  <c r="F286" i="2"/>
  <c r="G220" i="2"/>
  <c r="E283" i="2" s="1"/>
  <c r="F550" i="2"/>
  <c r="D589" i="2" s="1"/>
  <c r="F580" i="2"/>
  <c r="F582" i="2"/>
  <c r="F574" i="2"/>
  <c r="F576" i="2"/>
  <c r="F578" i="2"/>
  <c r="D283" i="2"/>
  <c r="F556" i="2"/>
  <c r="G623" i="2" s="1"/>
  <c r="G221" i="2"/>
  <c r="F597" i="2"/>
  <c r="F593" i="2"/>
  <c r="F599" i="2"/>
  <c r="F591" i="2"/>
  <c r="F595" i="2"/>
  <c r="G426" i="2" l="1"/>
  <c r="G430" i="2"/>
  <c r="F283" i="2"/>
  <c r="F289" i="2" s="1"/>
  <c r="D289" i="2"/>
  <c r="D578" i="2"/>
  <c r="I577" i="2" s="1"/>
  <c r="D781" i="2" s="1"/>
  <c r="D580" i="2"/>
  <c r="I579" i="2" s="1"/>
  <c r="D782" i="2" s="1"/>
  <c r="D576" i="2"/>
  <c r="I575" i="2" s="1"/>
  <c r="D574" i="2"/>
  <c r="I573" i="2" s="1"/>
  <c r="D582" i="2"/>
  <c r="I581" i="2" s="1"/>
  <c r="C725" i="2" s="1"/>
  <c r="D593" i="2"/>
  <c r="I592" i="2" s="1"/>
  <c r="D737" i="2" s="1"/>
  <c r="D597" i="2"/>
  <c r="I596" i="2" s="1"/>
  <c r="D599" i="2"/>
  <c r="I598" i="2" s="1"/>
  <c r="D725" i="2" s="1"/>
  <c r="D595" i="2"/>
  <c r="I594" i="2" s="1"/>
  <c r="D591" i="2"/>
  <c r="I590" i="2" s="1"/>
  <c r="D736" i="2" s="1"/>
  <c r="G633" i="2"/>
  <c r="G629" i="2"/>
  <c r="G631" i="2"/>
  <c r="G627" i="2"/>
  <c r="G625" i="2"/>
  <c r="C737" i="2" l="1"/>
  <c r="D780" i="2"/>
  <c r="F780" i="2" s="1"/>
  <c r="C736" i="2"/>
  <c r="D779" i="2"/>
  <c r="F779" i="2" s="1"/>
  <c r="D656" i="2"/>
  <c r="D711" i="2"/>
  <c r="D710" i="2"/>
  <c r="C711" i="2"/>
  <c r="C710" i="2"/>
  <c r="E674" i="2"/>
  <c r="D720" i="2"/>
  <c r="E673" i="2"/>
  <c r="D719" i="2"/>
  <c r="D674" i="2"/>
  <c r="C720" i="2"/>
  <c r="D673" i="2"/>
  <c r="C719" i="2"/>
  <c r="I426" i="2"/>
  <c r="C555" i="2" s="1"/>
  <c r="I430" i="2"/>
  <c r="G448" i="2" s="1"/>
  <c r="F781" i="2"/>
  <c r="E656" i="2"/>
  <c r="E657" i="2"/>
  <c r="F782" i="2"/>
  <c r="D657" i="2"/>
  <c r="C538" i="2" l="1"/>
  <c r="C542" i="2" s="1"/>
  <c r="F606" i="2"/>
  <c r="F610" i="2" s="1"/>
  <c r="H609" i="2" s="1"/>
  <c r="F555" i="2"/>
  <c r="F623" i="2" s="1"/>
  <c r="F631" i="2" s="1"/>
  <c r="H630" i="2" s="1"/>
  <c r="C492" i="2"/>
  <c r="C494" i="2" s="1"/>
  <c r="C488" i="2"/>
  <c r="C490" i="2" s="1"/>
  <c r="G803" i="2"/>
  <c r="C830" i="2" s="1"/>
  <c r="E830" i="2" s="1"/>
  <c r="G844" i="2" l="1"/>
  <c r="I849" i="2" s="1"/>
  <c r="E780" i="2"/>
  <c r="G780" i="2" s="1"/>
  <c r="D16" i="14" s="1"/>
  <c r="F674" i="2"/>
  <c r="G674" i="2" s="1"/>
  <c r="H674" i="2" s="1"/>
  <c r="J674" i="2" s="1"/>
  <c r="D7" i="14" s="1"/>
  <c r="E720" i="2"/>
  <c r="F720" i="2" s="1"/>
  <c r="G720" i="2" s="1"/>
  <c r="F538" i="2"/>
  <c r="F542" i="2" s="1"/>
  <c r="F612" i="2"/>
  <c r="H611" i="2" s="1"/>
  <c r="F625" i="2"/>
  <c r="H624" i="2" s="1"/>
  <c r="E736" i="2" s="1"/>
  <c r="F633" i="2"/>
  <c r="H632" i="2" s="1"/>
  <c r="F629" i="2"/>
  <c r="H628" i="2" s="1"/>
  <c r="E719" i="2" s="1"/>
  <c r="F627" i="2"/>
  <c r="H626" i="2" s="1"/>
  <c r="E737" i="2" s="1"/>
  <c r="F616" i="2"/>
  <c r="H615" i="2" s="1"/>
  <c r="F614" i="2"/>
  <c r="H613" i="2" s="1"/>
  <c r="F608" i="2"/>
  <c r="H607" i="2" s="1"/>
  <c r="C854" i="2" l="1"/>
  <c r="I877" i="2" s="1"/>
  <c r="H877" i="2" s="1"/>
  <c r="D20" i="14" s="1"/>
  <c r="H849" i="2"/>
  <c r="E782" i="2"/>
  <c r="G782" i="2" s="1"/>
  <c r="D18" i="14" s="1"/>
  <c r="E781" i="2"/>
  <c r="G781" i="2" s="1"/>
  <c r="D17" i="14" s="1"/>
  <c r="E779" i="2"/>
  <c r="G779" i="2" s="1"/>
  <c r="D15" i="14" s="1"/>
  <c r="E725" i="2"/>
  <c r="F725" i="2" s="1"/>
  <c r="G725" i="2" s="1"/>
  <c r="F657" i="2"/>
  <c r="G657" i="2" s="1"/>
  <c r="H657" i="2" s="1"/>
  <c r="J657" i="2" s="1"/>
  <c r="D5" i="14" s="1"/>
  <c r="E711" i="2"/>
  <c r="F711" i="2" s="1"/>
  <c r="G711" i="2" s="1"/>
  <c r="H711" i="2" s="1"/>
  <c r="E710" i="2"/>
  <c r="F673" i="2"/>
  <c r="G673" i="2" s="1"/>
  <c r="H673" i="2" s="1"/>
  <c r="J673" i="2" s="1"/>
  <c r="D6" i="14" s="1"/>
  <c r="F719" i="2"/>
  <c r="G719" i="2" s="1"/>
  <c r="J719" i="2" s="1"/>
  <c r="D11" i="14" s="1"/>
  <c r="F737" i="2"/>
  <c r="F656" i="2"/>
  <c r="G656" i="2" s="1"/>
  <c r="H656" i="2" s="1"/>
  <c r="J656" i="2" s="1"/>
  <c r="D4" i="14" s="1"/>
  <c r="F736" i="2"/>
  <c r="J720" i="2"/>
  <c r="D12" i="14" s="1"/>
  <c r="H720" i="2"/>
  <c r="C857" i="2" l="1"/>
  <c r="C858" i="2" s="1"/>
  <c r="C859" i="2" s="1"/>
  <c r="C860" i="2" s="1"/>
  <c r="C861" i="2" s="1"/>
  <c r="J711" i="2"/>
  <c r="D10" i="14" s="1"/>
  <c r="G1031" i="2"/>
  <c r="I1043" i="2" s="1"/>
  <c r="G1047" i="2" s="1"/>
  <c r="G736" i="2"/>
  <c r="H736" i="2"/>
  <c r="I736" i="2" s="1"/>
  <c r="H737" i="2"/>
  <c r="J737" i="2" s="1"/>
  <c r="G737" i="2"/>
  <c r="H725" i="2"/>
  <c r="J725" i="2"/>
  <c r="D13" i="14" s="1"/>
  <c r="F710" i="2"/>
  <c r="G710" i="2" s="1"/>
  <c r="H710" i="2" s="1"/>
  <c r="H719" i="2"/>
  <c r="G931" i="2" l="1"/>
  <c r="G935" i="2" s="1"/>
  <c r="G939" i="2" s="1"/>
  <c r="G951" i="2" s="1"/>
  <c r="G956" i="2" s="1"/>
  <c r="G998" i="2"/>
  <c r="G966" i="2"/>
  <c r="I978" i="2" s="1"/>
  <c r="G982" i="2" s="1"/>
  <c r="B863" i="2"/>
  <c r="I956" i="2"/>
  <c r="I737" i="2"/>
  <c r="J710" i="2"/>
  <c r="D9" i="14" s="1"/>
  <c r="H1043" i="2"/>
  <c r="J736" i="2"/>
  <c r="C1050" i="2"/>
  <c r="C1053" i="2" s="1"/>
  <c r="C1054" i="2" s="1"/>
  <c r="C1055" i="2" s="1"/>
  <c r="C1056" i="2" s="1"/>
  <c r="C1057" i="2" s="1"/>
  <c r="B1059" i="2" s="1"/>
  <c r="H1048" i="2"/>
  <c r="G943" i="2" l="1"/>
  <c r="G947" i="2" s="1"/>
  <c r="I1022" i="2"/>
  <c r="H1022" i="2" s="1"/>
  <c r="J1022" i="2" s="1"/>
  <c r="D24" i="14" s="1"/>
  <c r="H956" i="2"/>
  <c r="J956" i="2" s="1"/>
  <c r="D22" i="14" s="1"/>
  <c r="H978" i="2"/>
  <c r="C985" i="2"/>
  <c r="C988" i="2" s="1"/>
  <c r="C989" i="2" s="1"/>
  <c r="C990" i="2" s="1"/>
  <c r="C991" i="2" s="1"/>
  <c r="C992" i="2" s="1"/>
  <c r="B994" i="2" l="1"/>
</calcChain>
</file>

<file path=xl/sharedStrings.xml><?xml version="1.0" encoding="utf-8"?>
<sst xmlns="http://schemas.openxmlformats.org/spreadsheetml/2006/main" count="1242" uniqueCount="621">
  <si>
    <t>H</t>
  </si>
  <si>
    <t>T</t>
  </si>
  <si>
    <t>h</t>
  </si>
  <si>
    <t>d</t>
  </si>
  <si>
    <t>b</t>
  </si>
  <si>
    <t>a</t>
  </si>
  <si>
    <t>k</t>
  </si>
  <si>
    <t>l</t>
  </si>
  <si>
    <t>(m)</t>
  </si>
  <si>
    <t>Diseño de Estribos</t>
  </si>
  <si>
    <t>Características del proyecto</t>
  </si>
  <si>
    <t>Materiales</t>
  </si>
  <si>
    <t>•</t>
  </si>
  <si>
    <t>Concreto del estribo</t>
  </si>
  <si>
    <t>Concreto de la superestructura</t>
  </si>
  <si>
    <t>Acero de refuerzo</t>
  </si>
  <si>
    <t>Información del estudio de suelos</t>
  </si>
  <si>
    <t>Peso específico del suelo</t>
  </si>
  <si>
    <r>
      <t>Capacidad de carga nominal del suelo q</t>
    </r>
    <r>
      <rPr>
        <vertAlign val="subscript"/>
        <sz val="10"/>
        <rFont val="Arial"/>
        <family val="2"/>
      </rPr>
      <t>n</t>
    </r>
  </si>
  <si>
    <t>Ángulo de fricción interna del suelo de cimentación</t>
  </si>
  <si>
    <t>Perfil del suelo</t>
  </si>
  <si>
    <t>Tipo C (Tabla 3.10.3.1)</t>
  </si>
  <si>
    <t>Estados límites considerados en el análisis de la cimentación del estribo:</t>
  </si>
  <si>
    <t>Estado límite de resistencia I</t>
  </si>
  <si>
    <t>A.10.5.5.2</t>
  </si>
  <si>
    <r>
      <t>Cálculo de la capacidad portante mayorada del suelo q</t>
    </r>
    <r>
      <rPr>
        <vertAlign val="subscript"/>
        <sz val="10"/>
        <rFont val="Arial"/>
        <family val="2"/>
      </rPr>
      <t>R</t>
    </r>
    <r>
      <rPr>
        <sz val="10"/>
        <rFont val="Arial"/>
        <family val="2"/>
      </rPr>
      <t xml:space="preserve"> (10.6.3-1)</t>
    </r>
  </si>
  <si>
    <r>
      <t>q</t>
    </r>
    <r>
      <rPr>
        <vertAlign val="subscript"/>
        <sz val="10"/>
        <rFont val="Arial"/>
        <family val="2"/>
      </rPr>
      <t>R</t>
    </r>
    <r>
      <rPr>
        <sz val="10"/>
        <rFont val="Arial"/>
        <family val="2"/>
      </rPr>
      <t xml:space="preserve"> = </t>
    </r>
    <r>
      <rPr>
        <sz val="10"/>
        <rFont val="Calibri"/>
        <family val="2"/>
      </rPr>
      <t>φ</t>
    </r>
    <r>
      <rPr>
        <vertAlign val="subscript"/>
        <sz val="10"/>
        <rFont val="Calibri"/>
        <family val="2"/>
      </rPr>
      <t>b</t>
    </r>
    <r>
      <rPr>
        <sz val="10"/>
        <rFont val="Calibri"/>
        <family val="2"/>
      </rPr>
      <t>q</t>
    </r>
    <r>
      <rPr>
        <vertAlign val="subscript"/>
        <sz val="10"/>
        <rFont val="Calibri"/>
        <family val="2"/>
      </rPr>
      <t>N</t>
    </r>
  </si>
  <si>
    <t>(10.6.3.1.1-1)</t>
  </si>
  <si>
    <r>
      <t>φ</t>
    </r>
    <r>
      <rPr>
        <vertAlign val="subscript"/>
        <sz val="10"/>
        <rFont val="Calibri"/>
        <family val="2"/>
      </rPr>
      <t>b</t>
    </r>
    <r>
      <rPr>
        <sz val="10"/>
        <rFont val="Arial"/>
        <family val="2"/>
      </rPr>
      <t>: Factor de resistencia</t>
    </r>
  </si>
  <si>
    <t>(10.5.5.2.2)</t>
  </si>
  <si>
    <r>
      <t>φ</t>
    </r>
    <r>
      <rPr>
        <vertAlign val="subscript"/>
        <sz val="10"/>
        <rFont val="Calibri"/>
        <family val="2"/>
      </rPr>
      <t>b</t>
    </r>
  </si>
  <si>
    <t>(tabla 10.5.5.2.2-1)</t>
  </si>
  <si>
    <t>Estado límite de servicio</t>
  </si>
  <si>
    <r>
      <t xml:space="preserve">De acuerdo con 11.5.7, los factores de resistencia para el estado límite de servicio deben tomarse como 1 excepto para estabilidad global, para la que se debe tomar un valor de </t>
    </r>
    <r>
      <rPr>
        <sz val="10"/>
        <rFont val="Calibri"/>
        <family val="2"/>
      </rPr>
      <t>φ=0.65</t>
    </r>
    <r>
      <rPr>
        <sz val="10"/>
        <rFont val="Arial"/>
        <family val="2"/>
      </rPr>
      <t xml:space="preserve"> si la información geotécnica es limitada (11.6.2.3). Si bien este factor de resistencia se debe emplear para la verificación por estabilidad global, se supone que también gobierna la resistencia </t>
    </r>
    <r>
      <rPr>
        <sz val="10"/>
        <rFont val="Calibri"/>
        <family val="2"/>
        <scheme val="minor"/>
      </rPr>
      <t>q</t>
    </r>
    <r>
      <rPr>
        <vertAlign val="subscript"/>
        <sz val="10"/>
        <rFont val="Calibri"/>
        <family val="2"/>
        <scheme val="minor"/>
      </rPr>
      <t>R</t>
    </r>
    <r>
      <rPr>
        <sz val="10"/>
        <rFont val="Arial"/>
        <family val="2"/>
      </rPr>
      <t xml:space="preserve"> del suelo para el estado límite de servicio:</t>
    </r>
  </si>
  <si>
    <t>φ</t>
  </si>
  <si>
    <t>Estado límite de evento extremo I de acuerdo con 11.5.8</t>
  </si>
  <si>
    <r>
      <t xml:space="preserve">De acuerdo con 11.5.8, los factores de resistencia deben tomarse iguales a 1.0 cuando se investigue el estado límite de evento extremo. Para la estabilidad global debe emplearse un factor de resistencia </t>
    </r>
    <r>
      <rPr>
        <sz val="10"/>
        <rFont val="Calibri"/>
        <family val="2"/>
      </rPr>
      <t>φ=0.90</t>
    </r>
    <r>
      <rPr>
        <sz val="10"/>
        <rFont val="Arial"/>
        <family val="2"/>
      </rPr>
      <t xml:space="preserve">. Para la capacidad de carga debe usarse un factor de carga igual a </t>
    </r>
    <r>
      <rPr>
        <sz val="10"/>
        <rFont val="Calibri"/>
        <family val="2"/>
        <scheme val="minor"/>
      </rPr>
      <t>0.80</t>
    </r>
    <r>
      <rPr>
        <sz val="10"/>
        <rFont val="Arial"/>
        <family val="2"/>
      </rPr>
      <t xml:space="preserve"> para muros de semigravedad y gravedad. Es posible considerar el estribo bajo estudio como de semigravedad (ver Figura C11.6.1.1-1), por lo que la capacidad </t>
    </r>
    <r>
      <rPr>
        <sz val="10"/>
        <rFont val="Calibri"/>
        <family val="2"/>
        <scheme val="minor"/>
      </rPr>
      <t>q</t>
    </r>
    <r>
      <rPr>
        <vertAlign val="subscript"/>
        <sz val="10"/>
        <rFont val="Calibri"/>
        <family val="2"/>
        <scheme val="minor"/>
      </rPr>
      <t>R</t>
    </r>
    <r>
      <rPr>
        <sz val="10"/>
        <rFont val="Arial"/>
        <family val="2"/>
      </rPr>
      <t xml:space="preserve"> portante mayorada del suelo de fundación para el estado límite de evento extremo es</t>
    </r>
  </si>
  <si>
    <t>Clasificación sísmica del puente</t>
  </si>
  <si>
    <t>Ubicación del puente</t>
  </si>
  <si>
    <t>Coeficiente de aceleración pico del terreno PGA</t>
  </si>
  <si>
    <t>(Figura 3.10.2.1-1)</t>
  </si>
  <si>
    <r>
      <t>Coeficiente de aceleración espectral horizontal S</t>
    </r>
    <r>
      <rPr>
        <vertAlign val="subscript"/>
        <sz val="10"/>
        <rFont val="Arial"/>
        <family val="2"/>
      </rPr>
      <t>1</t>
    </r>
  </si>
  <si>
    <t>(Figura 3.10.2.1-3)</t>
  </si>
  <si>
    <t>Tipo de perfil de suelo</t>
  </si>
  <si>
    <t>(Tabla 3.10.3.1-1)</t>
  </si>
  <si>
    <t>Clasificación operacional</t>
  </si>
  <si>
    <t>Otros</t>
  </si>
  <si>
    <t>A3.10.5</t>
  </si>
  <si>
    <t xml:space="preserve">Zona de desempeño sísmico </t>
  </si>
  <si>
    <t>A3.10.6</t>
  </si>
  <si>
    <r>
      <t>F</t>
    </r>
    <r>
      <rPr>
        <vertAlign val="subscript"/>
        <sz val="10"/>
        <rFont val="Arial"/>
        <family val="2"/>
      </rPr>
      <t>v</t>
    </r>
    <r>
      <rPr>
        <sz val="10"/>
        <rFont val="Arial"/>
        <family val="2"/>
      </rPr>
      <t>: Factor de sitio</t>
    </r>
  </si>
  <si>
    <t>(Tabla 3.10.3.2-3)</t>
  </si>
  <si>
    <r>
      <t>S</t>
    </r>
    <r>
      <rPr>
        <vertAlign val="subscript"/>
        <sz val="10"/>
        <rFont val="Arial"/>
        <family val="2"/>
      </rPr>
      <t>D1</t>
    </r>
    <r>
      <rPr>
        <sz val="10"/>
        <rFont val="Arial"/>
        <family val="2"/>
      </rPr>
      <t xml:space="preserve"> = F</t>
    </r>
    <r>
      <rPr>
        <vertAlign val="subscript"/>
        <sz val="10"/>
        <rFont val="Arial"/>
        <family val="2"/>
      </rPr>
      <t>v</t>
    </r>
    <r>
      <rPr>
        <sz val="10"/>
        <rFont val="Arial"/>
        <family val="2"/>
      </rPr>
      <t xml:space="preserve"> S</t>
    </r>
    <r>
      <rPr>
        <vertAlign val="subscript"/>
        <sz val="10"/>
        <rFont val="Arial"/>
        <family val="2"/>
      </rPr>
      <t>1</t>
    </r>
  </si>
  <si>
    <t>(3.10.4.2-6)</t>
  </si>
  <si>
    <t>(Tabla 3.10.6-1)</t>
  </si>
  <si>
    <t>Cargas y momentos respecto provenientes de la superestructura</t>
  </si>
  <si>
    <r>
      <t xml:space="preserve">Nota: Los cálculos se llevan a cabo por </t>
    </r>
    <r>
      <rPr>
        <sz val="10"/>
        <rFont val="Calibri"/>
        <family val="2"/>
        <scheme val="minor"/>
      </rPr>
      <t>m</t>
    </r>
    <r>
      <rPr>
        <sz val="10"/>
        <rFont val="Arial"/>
        <family val="2"/>
      </rPr>
      <t xml:space="preserve"> de estribo.</t>
    </r>
  </si>
  <si>
    <t>Estribo</t>
  </si>
  <si>
    <t>Altura</t>
  </si>
  <si>
    <t>Largo</t>
  </si>
  <si>
    <t>Ancho</t>
  </si>
  <si>
    <t>Vástago</t>
  </si>
  <si>
    <t>Espesor</t>
  </si>
  <si>
    <t>Base</t>
  </si>
  <si>
    <t>Talón</t>
  </si>
  <si>
    <t>Espaldar</t>
  </si>
  <si>
    <t>Distancia a la base</t>
  </si>
  <si>
    <t>Topes</t>
  </si>
  <si>
    <t>Cantidad</t>
  </si>
  <si>
    <t>Aletas</t>
  </si>
  <si>
    <t>Espesor base</t>
  </si>
  <si>
    <t>Espesor corona</t>
  </si>
  <si>
    <t>Superestructura</t>
  </si>
  <si>
    <t>Área de la sección transversal</t>
  </si>
  <si>
    <t>Longitud de la superestructura</t>
  </si>
  <si>
    <t>Cantidad de vigas</t>
  </si>
  <si>
    <t>Base de la viga</t>
  </si>
  <si>
    <t>Altura de la viga</t>
  </si>
  <si>
    <t>Área del andén</t>
  </si>
  <si>
    <t>Área del bordillo</t>
  </si>
  <si>
    <t>Peso de las barandas</t>
  </si>
  <si>
    <t>Ancho de la carpeta asfáltica</t>
  </si>
  <si>
    <t>Espesor de la carpeta asfáltica</t>
  </si>
  <si>
    <t>Carga sobre el estribo debida al peso de la losa</t>
  </si>
  <si>
    <r>
      <t>DC</t>
    </r>
    <r>
      <rPr>
        <vertAlign val="subscript"/>
        <sz val="10"/>
        <rFont val="Calibri"/>
        <family val="2"/>
        <scheme val="minor"/>
      </rPr>
      <t>losa</t>
    </r>
  </si>
  <si>
    <t>Carga sobre el estribo debida al peso de las vigas</t>
  </si>
  <si>
    <r>
      <t>DC</t>
    </r>
    <r>
      <rPr>
        <vertAlign val="subscript"/>
        <sz val="10"/>
        <rFont val="Arial"/>
        <family val="2"/>
      </rPr>
      <t>vigas</t>
    </r>
  </si>
  <si>
    <t>Carga sobre el estribo debida al peso del bordillo, del andén y de las barandas</t>
  </si>
  <si>
    <r>
      <t>DC</t>
    </r>
    <r>
      <rPr>
        <vertAlign val="subscript"/>
        <sz val="10"/>
        <rFont val="Arial"/>
        <family val="2"/>
      </rPr>
      <t>sobreimpuestas</t>
    </r>
  </si>
  <si>
    <t>Carga sobre el estribo debida a la carpeta asfáltica</t>
  </si>
  <si>
    <t>DW</t>
  </si>
  <si>
    <t>Resumen de las cargas y momentos provenientes de la superestructura por ancho</t>
  </si>
  <si>
    <t>Momento de estabilización debido a las cargas permanentes provenientes de la superestructura</t>
  </si>
  <si>
    <t>DC (losa + vigas + sobreimpuestas)</t>
  </si>
  <si>
    <r>
      <t>X</t>
    </r>
    <r>
      <rPr>
        <vertAlign val="subscript"/>
        <sz val="10"/>
        <rFont val="Arial"/>
        <family val="2"/>
      </rPr>
      <t>A</t>
    </r>
  </si>
  <si>
    <r>
      <t>M</t>
    </r>
    <r>
      <rPr>
        <vertAlign val="subscript"/>
        <sz val="10"/>
        <rFont val="Arial"/>
        <family val="2"/>
      </rPr>
      <t>A</t>
    </r>
  </si>
  <si>
    <t>Momento de estabilización debido a la carpeta asfáltica</t>
  </si>
  <si>
    <t>Cargas provenientes de la superestructura debidas a la carga vehicular de diseño</t>
  </si>
  <si>
    <t>Carga vehicular de diseño CC-14</t>
  </si>
  <si>
    <t>Camión de diseño</t>
  </si>
  <si>
    <t>Carga del primer eje</t>
  </si>
  <si>
    <t>Carga del segundo eje</t>
  </si>
  <si>
    <t>Carga del tercer eje</t>
  </si>
  <si>
    <t>Distancia enter el primer eje y el segundo eje</t>
  </si>
  <si>
    <t>Distancia enter el segundo eje y el tercer eje</t>
  </si>
  <si>
    <t>Tándem de diseño</t>
  </si>
  <si>
    <t>Carril de diseño</t>
  </si>
  <si>
    <t>Carga</t>
  </si>
  <si>
    <t>Carga producida por el camión de diseño sobre el estribo</t>
  </si>
  <si>
    <r>
      <t>R</t>
    </r>
    <r>
      <rPr>
        <vertAlign val="subscript"/>
        <sz val="10"/>
        <rFont val="Arial"/>
        <family val="2"/>
      </rPr>
      <t>A</t>
    </r>
  </si>
  <si>
    <t>Carga producida por el tándem de diseño sobre el estribo</t>
  </si>
  <si>
    <t>Carga producida por el carril de diseño sobre el estribo</t>
  </si>
  <si>
    <t>Carga sobre el estribo debida a la carga vehicular de diseño CC-14</t>
  </si>
  <si>
    <t>Factor de carga dinámica</t>
  </si>
  <si>
    <t xml:space="preserve">Factor de presencia múltiple </t>
  </si>
  <si>
    <r>
      <t>R</t>
    </r>
    <r>
      <rPr>
        <vertAlign val="subscript"/>
        <sz val="10"/>
        <rFont val="Arial"/>
        <family val="2"/>
      </rPr>
      <t>A,CC-14, UN CARRIL</t>
    </r>
  </si>
  <si>
    <r>
      <t>R</t>
    </r>
    <r>
      <rPr>
        <vertAlign val="subscript"/>
        <sz val="10"/>
        <rFont val="Arial"/>
        <family val="2"/>
      </rPr>
      <t>A(LL+IM),CC-14, DOS CARRILES</t>
    </r>
  </si>
  <si>
    <t>Carga por ancho del estribo</t>
  </si>
  <si>
    <r>
      <t>R</t>
    </r>
    <r>
      <rPr>
        <vertAlign val="subscript"/>
        <sz val="10"/>
        <rFont val="Arial"/>
        <family val="2"/>
      </rPr>
      <t>A(LL+IM)</t>
    </r>
  </si>
  <si>
    <t>Momento de estabilización debido a la carga vehicular de diseño</t>
  </si>
  <si>
    <r>
      <t>M</t>
    </r>
    <r>
      <rPr>
        <vertAlign val="subscript"/>
        <sz val="10"/>
        <rFont val="Arial"/>
        <family val="2"/>
      </rPr>
      <t>RA(LL+IM)</t>
    </r>
  </si>
  <si>
    <t>Fuerza de frenado</t>
  </si>
  <si>
    <t>25% del peso de los ejes del camión o tándem de diseño</t>
  </si>
  <si>
    <t>BR</t>
  </si>
  <si>
    <t>5% del peso de los ejes del camión o tándem de diseño más la carga de carril</t>
  </si>
  <si>
    <t>Fuerza de frenado por ancho de estribo</t>
  </si>
  <si>
    <t>Momento de desestabilización debido a la fuerza frenado</t>
  </si>
  <si>
    <t>Altura de aplicación de la carga</t>
  </si>
  <si>
    <r>
      <t>M</t>
    </r>
    <r>
      <rPr>
        <vertAlign val="subscript"/>
        <sz val="10"/>
        <rFont val="Arial"/>
        <family val="2"/>
      </rPr>
      <t>A,BR</t>
    </r>
  </si>
  <si>
    <t>Cargas y momentos debidos al peso de la subestuctura</t>
  </si>
  <si>
    <t>Peso del estribo</t>
  </si>
  <si>
    <t>Área [m²]</t>
  </si>
  <si>
    <t>DC [kN/m]</t>
  </si>
  <si>
    <r>
      <t>X</t>
    </r>
    <r>
      <rPr>
        <vertAlign val="subscript"/>
        <sz val="10"/>
        <rFont val="Arial"/>
        <family val="2"/>
      </rPr>
      <t>A</t>
    </r>
    <r>
      <rPr>
        <sz val="10"/>
        <rFont val="Arial"/>
        <family val="2"/>
      </rPr>
      <t xml:space="preserve"> [m]</t>
    </r>
  </si>
  <si>
    <r>
      <t>Y</t>
    </r>
    <r>
      <rPr>
        <vertAlign val="subscript"/>
        <sz val="10"/>
        <rFont val="Arial"/>
        <family val="2"/>
      </rPr>
      <t>A</t>
    </r>
    <r>
      <rPr>
        <sz val="10"/>
        <rFont val="Arial"/>
        <family val="2"/>
      </rPr>
      <t xml:space="preserve"> [m]</t>
    </r>
  </si>
  <si>
    <t>DCXA</t>
  </si>
  <si>
    <t>DCYA</t>
  </si>
  <si>
    <t>Zapata</t>
  </si>
  <si>
    <t>Suma</t>
  </si>
  <si>
    <t>Posicionamiento de la resultante de cargas debida al peso propio del estribo</t>
  </si>
  <si>
    <r>
      <t>Y</t>
    </r>
    <r>
      <rPr>
        <vertAlign val="subscript"/>
        <sz val="10"/>
        <rFont val="Arial"/>
        <family val="2"/>
      </rPr>
      <t>A</t>
    </r>
  </si>
  <si>
    <t>Carga y momento debidos al peso propio del relleno</t>
  </si>
  <si>
    <t>Peso especifico del suelo de relleno</t>
  </si>
  <si>
    <t>Posicionamiento de la resultante de cargas debida al peso propio del relleno</t>
  </si>
  <si>
    <t>Sobrecarga LS por carga viva sobre el relleno (3.11.6.4-1)</t>
  </si>
  <si>
    <t>"La sobrecarga por carga viva debe aplicarse donde se espere carga vehicular sobre la superficie del relleno dentro de una distancia igual a la mitad de la altura del muro desde el respaldo del muro". Este incremento de carga viva tiene en cuenta además la acción de los vehículos durante el proceso de construcción del relleno detrás del estribo.</t>
  </si>
  <si>
    <t>De acuerdo con 3.11.6.4, el incremento en la presión horizontal debida a la sobrecarga por carga viva vehícular puede estimarse como</t>
  </si>
  <si>
    <r>
      <rPr>
        <sz val="10"/>
        <rFont val="Calibri"/>
        <family val="2"/>
      </rPr>
      <t>Δ</t>
    </r>
    <r>
      <rPr>
        <vertAlign val="subscript"/>
        <sz val="10"/>
        <rFont val="Arial"/>
        <family val="2"/>
      </rPr>
      <t>p</t>
    </r>
    <r>
      <rPr>
        <sz val="10"/>
        <rFont val="Arial"/>
        <family val="2"/>
      </rPr>
      <t xml:space="preserve">=k </t>
    </r>
    <r>
      <rPr>
        <sz val="10"/>
        <rFont val="Calibri"/>
        <family val="2"/>
      </rPr>
      <t>γ</t>
    </r>
    <r>
      <rPr>
        <vertAlign val="subscript"/>
        <sz val="10"/>
        <rFont val="Calibri"/>
        <family val="2"/>
      </rPr>
      <t>s</t>
    </r>
    <r>
      <rPr>
        <sz val="10"/>
        <rFont val="Calibri"/>
        <family val="2"/>
      </rPr>
      <t xml:space="preserve"> h</t>
    </r>
    <r>
      <rPr>
        <vertAlign val="subscript"/>
        <sz val="10"/>
        <rFont val="Calibri"/>
        <family val="2"/>
      </rPr>
      <t xml:space="preserve">eq </t>
    </r>
    <r>
      <rPr>
        <sz val="10"/>
        <rFont val="Calibri"/>
        <family val="2"/>
      </rPr>
      <t>x 10</t>
    </r>
    <r>
      <rPr>
        <vertAlign val="superscript"/>
        <sz val="10"/>
        <rFont val="Calibri"/>
        <family val="2"/>
      </rPr>
      <t>-9</t>
    </r>
  </si>
  <si>
    <t>(3.11.6.4-1)</t>
  </si>
  <si>
    <t>Donde</t>
  </si>
  <si>
    <t>Δp:</t>
  </si>
  <si>
    <t>Presión constante horizontal de suelo debida a la sobrecarga por carga viva (MPa).</t>
  </si>
  <si>
    <r>
      <rPr>
        <sz val="10"/>
        <rFont val="Calibri"/>
        <family val="2"/>
      </rPr>
      <t>γ</t>
    </r>
    <r>
      <rPr>
        <vertAlign val="subscript"/>
        <sz val="10"/>
        <rFont val="Calibri"/>
        <family val="2"/>
      </rPr>
      <t>s</t>
    </r>
    <r>
      <rPr>
        <sz val="10"/>
        <rFont val="Calibri"/>
        <family val="2"/>
      </rPr>
      <t/>
    </r>
  </si>
  <si>
    <t>Peso unitario total de suelo</t>
  </si>
  <si>
    <t>Coeficiente de presión lateral del suelo</t>
  </si>
  <si>
    <r>
      <t>h</t>
    </r>
    <r>
      <rPr>
        <vertAlign val="subscript"/>
        <sz val="10"/>
        <rFont val="Calibri"/>
        <family val="2"/>
      </rPr>
      <t>eq</t>
    </r>
  </si>
  <si>
    <t>Altura equivalente de suelo</t>
  </si>
  <si>
    <t>(Tabla 3.11.6.4.1)</t>
  </si>
  <si>
    <t>Tabla 3.11.6.4-1. Alturas equivalentes de suelo para carga vehícular sobre estribos perpendiculares al tráfico</t>
  </si>
  <si>
    <t>Altura estribo (mm)</t>
  </si>
  <si>
    <t>heq (mm)</t>
  </si>
  <si>
    <t>Este resultado no tiene significado físico</t>
  </si>
  <si>
    <r>
      <t xml:space="preserve">La ecuación 3.11.6.4.-1 es, por </t>
    </r>
    <r>
      <rPr>
        <sz val="10"/>
        <rFont val="Calibri"/>
        <family val="2"/>
      </rPr>
      <t>m</t>
    </r>
    <r>
      <rPr>
        <sz val="10"/>
        <rFont val="Arial"/>
        <family val="2"/>
      </rPr>
      <t xml:space="preserve"> de estribo</t>
    </r>
  </si>
  <si>
    <t>La Norma deja a elección del diseñador reducir la sobrecarga por carga viva sobre el estribo cuando se proyectan losas de aproximación. Efectivamente, en 3.11.6.5 se estipula: "Si la carga vehicular se transmite a través de una losa estructural, la cual está apoyada por medios diferentes que el suelo, puede permitirse una reducción correspondiente en la sobrecarga". En este documento no se redujo la sobrecarga aunque el estribo tiene una losa de aproximación.</t>
  </si>
  <si>
    <t>Componente horizontal y momento de desestabilización en A para una altura total</t>
  </si>
  <si>
    <r>
      <t>LS</t>
    </r>
    <r>
      <rPr>
        <vertAlign val="subscript"/>
        <sz val="10"/>
        <rFont val="Arial"/>
        <family val="2"/>
      </rPr>
      <t>X</t>
    </r>
  </si>
  <si>
    <r>
      <t>M</t>
    </r>
    <r>
      <rPr>
        <vertAlign val="subscript"/>
        <sz val="10"/>
        <rFont val="Arial"/>
        <family val="2"/>
      </rPr>
      <t>A,LS,x</t>
    </r>
  </si>
  <si>
    <t>Componente vertical y momento de esestabilización en A</t>
  </si>
  <si>
    <r>
      <t>LS</t>
    </r>
    <r>
      <rPr>
        <vertAlign val="subscript"/>
        <sz val="10"/>
        <rFont val="Arial"/>
        <family val="2"/>
      </rPr>
      <t>Y</t>
    </r>
  </si>
  <si>
    <t>Acciones verticales por m de estribo</t>
  </si>
  <si>
    <t>Acciones verticales sobre el estribo (m)</t>
  </si>
  <si>
    <t>Origden</t>
  </si>
  <si>
    <t>Peso</t>
  </si>
  <si>
    <t>DC</t>
  </si>
  <si>
    <t>ESTRIBO</t>
  </si>
  <si>
    <t>SUPEST</t>
  </si>
  <si>
    <t>ASFÁLTI</t>
  </si>
  <si>
    <t>EV</t>
  </si>
  <si>
    <t>PESO TE</t>
  </si>
  <si>
    <t>LL+IM</t>
  </si>
  <si>
    <t>CC-14</t>
  </si>
  <si>
    <t>LS</t>
  </si>
  <si>
    <t>VIVA</t>
  </si>
  <si>
    <t>SUMA</t>
  </si>
  <si>
    <t>Empuje horizontal del suelo EH</t>
  </si>
  <si>
    <t>Empuje activo del terreno</t>
  </si>
  <si>
    <r>
      <t>K</t>
    </r>
    <r>
      <rPr>
        <vertAlign val="subscript"/>
        <sz val="10"/>
        <rFont val="Arial"/>
        <family val="2"/>
      </rPr>
      <t>A</t>
    </r>
  </si>
  <si>
    <t>Empuje activo estático EH</t>
  </si>
  <si>
    <t>EH</t>
  </si>
  <si>
    <t>Momento de desestabilización producido por el empuje activo EH del terreno</t>
  </si>
  <si>
    <r>
      <t>M</t>
    </r>
    <r>
      <rPr>
        <vertAlign val="subscript"/>
        <sz val="10"/>
        <rFont val="Arial"/>
        <family val="2"/>
      </rPr>
      <t>A,EH</t>
    </r>
  </si>
  <si>
    <r>
      <t>Fuerzas sísmicas P</t>
    </r>
    <r>
      <rPr>
        <b/>
        <vertAlign val="subscript"/>
        <sz val="10"/>
        <rFont val="Arial"/>
        <family val="2"/>
      </rPr>
      <t>SEIS</t>
    </r>
    <r>
      <rPr>
        <b/>
        <sz val="10"/>
        <rFont val="Arial"/>
        <family val="2"/>
      </rPr>
      <t xml:space="preserve"> y H</t>
    </r>
    <r>
      <rPr>
        <b/>
        <vertAlign val="subscript"/>
        <sz val="10"/>
        <rFont val="Arial"/>
        <family val="2"/>
      </rPr>
      <t>BU</t>
    </r>
  </si>
  <si>
    <r>
      <t>De acuerdo con la tabla 4.7.4.3.1-1 para puentes de una sola luz no se requiere análisis sísmico. Sin embargo para el estado de evento extremo I, que incluye el sismo, es necesario calcular las fuerzas sísmicas que actúan sobre el estribo. Estas fuerzas tienen su origen en el empuje dinámico del suelo (Mononobe Okabe) y en el peso de la superestructura, definido en la Norma como la fuerza H</t>
    </r>
    <r>
      <rPr>
        <vertAlign val="subscript"/>
        <sz val="10"/>
        <rFont val="Arial"/>
        <family val="2"/>
      </rPr>
      <t>bu</t>
    </r>
    <r>
      <rPr>
        <sz val="10"/>
        <rFont val="Arial"/>
        <family val="2"/>
      </rPr>
      <t xml:space="preserve"> (14.6.3.1-1).</t>
    </r>
  </si>
  <si>
    <t>El modelo de cálculo que se emplee para la determinación de las fuerzas sísmicas que actúan sobre un estribo tiene un impacto significativo en la magnitud de las fuerzas obtenidas. Si se supone que el estribo es infinitamente rígido y se emplean los coeficientes del método de Mononobe Okabe (A11.3) se obtienen fuerzas sísmicas inferiores a aquellas que resultan de suponer que el estribo es un sistema elástico con una rigidez al desplazamiento y que se comporta como un oscilador simple.</t>
  </si>
  <si>
    <t>Los cálculos que siguen suponen que el estribo es infinitamente rígido.</t>
  </si>
  <si>
    <t>Fuerzas sísmicas proveniente del peso del estribo, del peso y del empuje del material</t>
  </si>
  <si>
    <r>
      <t>Cálculo de la fuerza sísmica P</t>
    </r>
    <r>
      <rPr>
        <b/>
        <vertAlign val="subscript"/>
        <sz val="10"/>
        <rFont val="Arial"/>
        <family val="2"/>
      </rPr>
      <t>SEIS</t>
    </r>
    <r>
      <rPr>
        <b/>
        <sz val="10"/>
        <rFont val="Arial"/>
        <family val="2"/>
      </rPr>
      <t xml:space="preserve"> (11.6.5)</t>
    </r>
  </si>
  <si>
    <r>
      <t>De acuerdo con 11.6.5.1, la fuerza lateral total aplicada al estribo debida al sismo y a la presión de tierra P</t>
    </r>
    <r>
      <rPr>
        <vertAlign val="subscript"/>
        <sz val="10"/>
        <rFont val="Arial"/>
        <family val="2"/>
      </rPr>
      <t>seis</t>
    </r>
    <r>
      <rPr>
        <sz val="10"/>
        <rFont val="Arial"/>
        <family val="2"/>
      </rPr>
      <t>, debe determinarse considerando el efecto combinado de P</t>
    </r>
    <r>
      <rPr>
        <vertAlign val="subscript"/>
        <sz val="10"/>
        <rFont val="Arial"/>
        <family val="2"/>
      </rPr>
      <t>EA</t>
    </r>
    <r>
      <rPr>
        <sz val="10"/>
        <rFont val="Arial"/>
        <family val="2"/>
      </rPr>
      <t xml:space="preserve"> y P</t>
    </r>
    <r>
      <rPr>
        <vertAlign val="subscript"/>
        <sz val="10"/>
        <rFont val="Arial"/>
        <family val="2"/>
      </rPr>
      <t>IR</t>
    </r>
    <r>
      <rPr>
        <sz val="10"/>
        <rFont val="Arial"/>
        <family val="2"/>
      </rPr>
      <t>, donde</t>
    </r>
  </si>
  <si>
    <r>
      <t>P</t>
    </r>
    <r>
      <rPr>
        <vertAlign val="subscript"/>
        <sz val="10"/>
        <rFont val="Arial"/>
        <family val="2"/>
      </rPr>
      <t>seis</t>
    </r>
  </si>
  <si>
    <t>Fuerza lateral total aplicada al muro debida al sismo y presión de tierra</t>
  </si>
  <si>
    <r>
      <t>P</t>
    </r>
    <r>
      <rPr>
        <vertAlign val="subscript"/>
        <sz val="10"/>
        <rFont val="Arial"/>
        <family val="2"/>
      </rPr>
      <t>IR</t>
    </r>
  </si>
  <si>
    <t>Fuerza inercial del muro</t>
  </si>
  <si>
    <r>
      <t>k</t>
    </r>
    <r>
      <rPr>
        <vertAlign val="subscript"/>
        <sz val="10"/>
        <rFont val="Arial"/>
        <family val="2"/>
      </rPr>
      <t>h</t>
    </r>
    <r>
      <rPr>
        <sz val="10"/>
        <rFont val="Arial"/>
        <family val="2"/>
      </rPr>
      <t>(W</t>
    </r>
    <r>
      <rPr>
        <vertAlign val="subscript"/>
        <sz val="10"/>
        <rFont val="Arial"/>
        <family val="2"/>
      </rPr>
      <t>W</t>
    </r>
    <r>
      <rPr>
        <sz val="10"/>
        <rFont val="Arial"/>
        <family val="2"/>
      </rPr>
      <t>+W</t>
    </r>
    <r>
      <rPr>
        <vertAlign val="subscript"/>
        <sz val="10"/>
        <rFont val="Arial"/>
        <family val="2"/>
      </rPr>
      <t>S</t>
    </r>
    <r>
      <rPr>
        <sz val="10"/>
        <rFont val="Arial"/>
        <family val="2"/>
      </rPr>
      <t>)</t>
    </r>
  </si>
  <si>
    <t>(11.6.5.1-1)</t>
  </si>
  <si>
    <r>
      <t>P</t>
    </r>
    <r>
      <rPr>
        <vertAlign val="subscript"/>
        <sz val="10"/>
        <rFont val="Arial"/>
        <family val="2"/>
      </rPr>
      <t>EA</t>
    </r>
  </si>
  <si>
    <t>Fuerza dinámica debida al empuje de tierras</t>
  </si>
  <si>
    <r>
      <t>0.50</t>
    </r>
    <r>
      <rPr>
        <sz val="10"/>
        <rFont val="Calibri"/>
        <family val="2"/>
      </rPr>
      <t>γ</t>
    </r>
    <r>
      <rPr>
        <sz val="10"/>
        <rFont val="Arial"/>
        <family val="2"/>
      </rPr>
      <t>H²K</t>
    </r>
    <r>
      <rPr>
        <vertAlign val="subscript"/>
        <sz val="10"/>
        <rFont val="Arial"/>
        <family val="2"/>
      </rPr>
      <t>AE</t>
    </r>
  </si>
  <si>
    <t>(11.6.5.3-2)</t>
  </si>
  <si>
    <t>Fuerza horizontal debida a la fuerza sísmica de la masa del muro</t>
  </si>
  <si>
    <r>
      <t>k</t>
    </r>
    <r>
      <rPr>
        <vertAlign val="subscript"/>
        <sz val="10"/>
        <rFont val="Arial"/>
        <family val="2"/>
      </rPr>
      <t>h</t>
    </r>
  </si>
  <si>
    <t>Coeficiente de aceleración sísmica horizontal</t>
  </si>
  <si>
    <r>
      <t>W</t>
    </r>
    <r>
      <rPr>
        <vertAlign val="subscript"/>
        <sz val="10"/>
        <rFont val="Arial"/>
        <family val="2"/>
      </rPr>
      <t>W</t>
    </r>
  </si>
  <si>
    <t>Peso del muro</t>
  </si>
  <si>
    <r>
      <t>W</t>
    </r>
    <r>
      <rPr>
        <vertAlign val="subscript"/>
        <sz val="10"/>
        <rFont val="Arial"/>
        <family val="2"/>
      </rPr>
      <t>S</t>
    </r>
  </si>
  <si>
    <t>Peso del suelo que está inmediatamente encima del muro incluyendo el talón</t>
  </si>
  <si>
    <r>
      <t>Para investigar la estabilidad del estribo debe incluirse el efecto combinado de P</t>
    </r>
    <r>
      <rPr>
        <vertAlign val="subscript"/>
        <sz val="10"/>
        <rFont val="Arial"/>
        <family val="2"/>
      </rPr>
      <t>AE</t>
    </r>
    <r>
      <rPr>
        <sz val="10"/>
        <rFont val="Arial"/>
        <family val="2"/>
      </rPr>
      <t xml:space="preserve"> y P</t>
    </r>
    <r>
      <rPr>
        <vertAlign val="subscript"/>
        <sz val="10"/>
        <rFont val="Arial"/>
        <family val="2"/>
      </rPr>
      <t>IR</t>
    </r>
    <r>
      <rPr>
        <sz val="10"/>
        <rFont val="Arial"/>
        <family val="2"/>
      </rPr>
      <t xml:space="preserve"> considerando que estos no son concurrentes. De acuerdo con la Norma en 11.6.5.1 se debe</t>
    </r>
  </si>
  <si>
    <r>
      <t>Combinar el 100% del empuje sísmico de tierras P</t>
    </r>
    <r>
      <rPr>
        <vertAlign val="subscript"/>
        <sz val="10"/>
        <rFont val="Arial"/>
        <family val="2"/>
      </rPr>
      <t>AE</t>
    </r>
    <r>
      <rPr>
        <sz val="10"/>
        <rFont val="Arial"/>
        <family val="2"/>
      </rPr>
      <t xml:space="preserve"> con el 50% de la fuerza inercial del muro P</t>
    </r>
    <r>
      <rPr>
        <vertAlign val="subscript"/>
        <sz val="10"/>
        <rFont val="Arial"/>
        <family val="2"/>
      </rPr>
      <t>IR</t>
    </r>
    <r>
      <rPr>
        <sz val="10"/>
        <rFont val="Arial"/>
        <family val="2"/>
      </rPr>
      <t>.</t>
    </r>
  </si>
  <si>
    <r>
      <t>Combinar el 50% de P</t>
    </r>
    <r>
      <rPr>
        <vertAlign val="subscript"/>
        <sz val="10"/>
        <rFont val="Arial"/>
        <family val="2"/>
      </rPr>
      <t>AE</t>
    </r>
    <r>
      <rPr>
        <sz val="10"/>
        <rFont val="Arial"/>
        <family val="2"/>
      </rPr>
      <t>, pero no menos que el empuje activo estático EH, con el 100% de la fuerza inercial del muro P</t>
    </r>
    <r>
      <rPr>
        <vertAlign val="subscript"/>
        <sz val="10"/>
        <rFont val="Arial"/>
        <family val="2"/>
      </rPr>
      <t>IR</t>
    </r>
    <r>
      <rPr>
        <sz val="10"/>
        <rFont val="Arial"/>
        <family val="2"/>
      </rPr>
      <t>.</t>
    </r>
  </si>
  <si>
    <r>
      <t>De acuerdo con 11.6.5.3 la fuerza sísmica activa, P</t>
    </r>
    <r>
      <rPr>
        <vertAlign val="subscript"/>
        <sz val="10"/>
        <rFont val="Arial"/>
        <family val="2"/>
      </rPr>
      <t>AE</t>
    </r>
    <r>
      <rPr>
        <sz val="10"/>
        <rFont val="Arial"/>
        <family val="2"/>
      </rPr>
      <t>, es</t>
    </r>
  </si>
  <si>
    <r>
      <t>P</t>
    </r>
    <r>
      <rPr>
        <vertAlign val="subscript"/>
        <sz val="10"/>
        <rFont val="Arial"/>
        <family val="2"/>
      </rPr>
      <t>AE</t>
    </r>
  </si>
  <si>
    <r>
      <t>K</t>
    </r>
    <r>
      <rPr>
        <vertAlign val="subscript"/>
        <sz val="10"/>
        <rFont val="Arial"/>
        <family val="2"/>
      </rPr>
      <t>AE</t>
    </r>
  </si>
  <si>
    <t>Coeficiente de empuje activo sísmico del suelo</t>
  </si>
  <si>
    <r>
      <t>El coeficente de empuje activo sismico K</t>
    </r>
    <r>
      <rPr>
        <vertAlign val="subscript"/>
        <sz val="10"/>
        <rFont val="Arial"/>
        <family val="2"/>
      </rPr>
      <t>AE</t>
    </r>
    <r>
      <rPr>
        <sz val="10"/>
        <rFont val="Arial"/>
        <family val="2"/>
      </rPr>
      <t xml:space="preserve"> puede ser calculado de acuerdo con la teoría de Mononobe Okabe, tal como se indica en el apéndice A.11.3, ecuación A11.3.1-1.</t>
    </r>
  </si>
  <si>
    <r>
      <t>Valor de k</t>
    </r>
    <r>
      <rPr>
        <b/>
        <vertAlign val="subscript"/>
        <sz val="10"/>
        <rFont val="Arial"/>
        <family val="2"/>
      </rPr>
      <t>h</t>
    </r>
    <r>
      <rPr>
        <b/>
        <sz val="10"/>
        <rFont val="Arial"/>
        <family val="2"/>
      </rPr>
      <t xml:space="preserve"> </t>
    </r>
  </si>
  <si>
    <r>
      <t>De acuerdo con 11.6.5.2.2, donde el muro (estribo) pueda desplazarse de 25 mm a 50 mm durante un sismo, puede suponerse que k</t>
    </r>
    <r>
      <rPr>
        <vertAlign val="subscript"/>
        <sz val="10"/>
        <rFont val="Arial"/>
        <family val="2"/>
      </rPr>
      <t>h</t>
    </r>
    <r>
      <rPr>
        <sz val="10"/>
        <rFont val="Arial"/>
        <family val="2"/>
      </rPr>
      <t>=0.50k</t>
    </r>
    <r>
      <rPr>
        <vertAlign val="subscript"/>
        <sz val="10"/>
        <rFont val="Arial"/>
        <family val="2"/>
      </rPr>
      <t>h0</t>
    </r>
    <r>
      <rPr>
        <sz val="10"/>
        <rFont val="Arial"/>
        <family val="2"/>
      </rPr>
      <t>, donde k</t>
    </r>
    <r>
      <rPr>
        <vertAlign val="subscript"/>
        <sz val="10"/>
        <rFont val="Arial"/>
        <family val="2"/>
      </rPr>
      <t>h0</t>
    </r>
    <r>
      <rPr>
        <sz val="10"/>
        <rFont val="Arial"/>
        <family val="2"/>
      </rPr>
      <t xml:space="preserve"> es el coeficiente sísmico de aceleración horizontal que se obtiene suponiendo que el estribo no puede desplazarse</t>
    </r>
  </si>
  <si>
    <r>
      <t>A</t>
    </r>
    <r>
      <rPr>
        <vertAlign val="subscript"/>
        <sz val="10"/>
        <rFont val="Arial"/>
        <family val="2"/>
      </rPr>
      <t>S</t>
    </r>
  </si>
  <si>
    <r>
      <t>F</t>
    </r>
    <r>
      <rPr>
        <vertAlign val="subscript"/>
        <sz val="10"/>
        <rFont val="Arial"/>
        <family val="2"/>
      </rPr>
      <t>pga</t>
    </r>
    <r>
      <rPr>
        <sz val="10"/>
        <rFont val="Arial"/>
        <family val="2"/>
      </rPr>
      <t>PGA=k</t>
    </r>
    <r>
      <rPr>
        <vertAlign val="subscript"/>
        <sz val="10"/>
        <rFont val="Arial"/>
        <family val="2"/>
      </rPr>
      <t>H0</t>
    </r>
  </si>
  <si>
    <t>(3.10.4.2-2)</t>
  </si>
  <si>
    <t>(Con excepción de muros cimentados sobre suelos tipo A y B).</t>
  </si>
  <si>
    <t>Sustituyendo los valores numéricos en la ecuación 3.10.4.2-2 se obtiene</t>
  </si>
  <si>
    <t>De la tabla 3.10.2.1-1 se tiene para Armenia, región 5</t>
  </si>
  <si>
    <t>PGA</t>
  </si>
  <si>
    <r>
      <t>F</t>
    </r>
    <r>
      <rPr>
        <vertAlign val="subscript"/>
        <sz val="10"/>
        <rFont val="Arial"/>
        <family val="2"/>
      </rPr>
      <t>pga</t>
    </r>
  </si>
  <si>
    <t>(3.10.3.2-1)</t>
  </si>
  <si>
    <t>Es decir</t>
  </si>
  <si>
    <r>
      <t>k</t>
    </r>
    <r>
      <rPr>
        <vertAlign val="subscript"/>
        <sz val="10"/>
        <rFont val="Arial"/>
        <family val="2"/>
      </rPr>
      <t>H0</t>
    </r>
    <r>
      <rPr>
        <sz val="10"/>
        <rFont val="Arial"/>
        <family val="2"/>
      </rPr>
      <t>, A</t>
    </r>
    <r>
      <rPr>
        <vertAlign val="subscript"/>
        <sz val="10"/>
        <rFont val="Arial"/>
        <family val="2"/>
      </rPr>
      <t>S</t>
    </r>
  </si>
  <si>
    <t>Por consiguiente</t>
  </si>
  <si>
    <r>
      <t>0.5k</t>
    </r>
    <r>
      <rPr>
        <vertAlign val="subscript"/>
        <sz val="10"/>
        <rFont val="Arial"/>
        <family val="2"/>
      </rPr>
      <t>h0</t>
    </r>
  </si>
  <si>
    <r>
      <t>Nota: para k</t>
    </r>
    <r>
      <rPr>
        <vertAlign val="subscript"/>
        <sz val="10"/>
        <rFont val="Arial"/>
        <family val="2"/>
      </rPr>
      <t>h</t>
    </r>
    <r>
      <rPr>
        <sz val="10"/>
        <rFont val="Arial"/>
        <family val="2"/>
      </rPr>
      <t>=0.50k</t>
    </r>
    <r>
      <rPr>
        <vertAlign val="subscript"/>
        <sz val="10"/>
        <rFont val="Arial"/>
        <family val="2"/>
      </rPr>
      <t>h0</t>
    </r>
    <r>
      <rPr>
        <sz val="10"/>
        <rFont val="Arial"/>
        <family val="2"/>
      </rPr>
      <t xml:space="preserve"> ver 11.6.5.2.2.</t>
    </r>
  </si>
  <si>
    <r>
      <t>Cálculo de P</t>
    </r>
    <r>
      <rPr>
        <b/>
        <vertAlign val="subscript"/>
        <sz val="10"/>
        <rFont val="Arial"/>
        <family val="2"/>
      </rPr>
      <t>AE</t>
    </r>
  </si>
  <si>
    <r>
      <t>Se supone que k</t>
    </r>
    <r>
      <rPr>
        <vertAlign val="subscript"/>
        <sz val="10"/>
        <rFont val="Arial"/>
        <family val="2"/>
      </rPr>
      <t>v</t>
    </r>
    <r>
      <rPr>
        <sz val="10"/>
        <rFont val="Arial"/>
        <family val="2"/>
      </rPr>
      <t>=0 (ver C11.6.5.2.1) por lo que</t>
    </r>
  </si>
  <si>
    <r>
      <rPr>
        <sz val="10"/>
        <rFont val="Calibri"/>
        <family val="2"/>
      </rPr>
      <t>θ</t>
    </r>
    <r>
      <rPr>
        <vertAlign val="subscript"/>
        <sz val="10"/>
        <rFont val="Arial"/>
        <family val="2"/>
      </rPr>
      <t>M0</t>
    </r>
  </si>
  <si>
    <t>Ángulo de fricción del suelo de relleno</t>
  </si>
  <si>
    <t>θ</t>
  </si>
  <si>
    <t>De acuerdo con la geometría del estribo</t>
  </si>
  <si>
    <t>i</t>
  </si>
  <si>
    <t>β</t>
  </si>
  <si>
    <t>δ</t>
  </si>
  <si>
    <r>
      <t>K</t>
    </r>
    <r>
      <rPr>
        <vertAlign val="subscript"/>
        <sz val="10"/>
        <rFont val="Calibri"/>
        <family val="2"/>
      </rPr>
      <t>AE</t>
    </r>
  </si>
  <si>
    <t>En consecuencia, la fuerza sísmica debida al empuje del terreno, por m de estribo, es</t>
  </si>
  <si>
    <r>
      <t>P</t>
    </r>
    <r>
      <rPr>
        <vertAlign val="subscript"/>
        <sz val="10"/>
        <rFont val="Calibri"/>
        <family val="2"/>
      </rPr>
      <t>AE</t>
    </r>
  </si>
  <si>
    <t>La diferencia entre el empuje activo estático y el empuje del terreno debido al sismo es</t>
  </si>
  <si>
    <r>
      <t>ΔP</t>
    </r>
    <r>
      <rPr>
        <vertAlign val="subscript"/>
        <sz val="10"/>
        <rFont val="Calibri"/>
        <family val="2"/>
      </rPr>
      <t>AE</t>
    </r>
  </si>
  <si>
    <r>
      <t xml:space="preserve">Esta fuerza sísmica </t>
    </r>
    <r>
      <rPr>
        <sz val="10"/>
        <rFont val="Calibri"/>
        <family val="2"/>
      </rPr>
      <t>Δ</t>
    </r>
    <r>
      <rPr>
        <sz val="10"/>
        <rFont val="Calibri"/>
        <family val="2"/>
        <scheme val="minor"/>
      </rPr>
      <t>P</t>
    </r>
    <r>
      <rPr>
        <vertAlign val="subscript"/>
        <sz val="10"/>
        <rFont val="Calibri"/>
        <family val="2"/>
        <scheme val="minor"/>
      </rPr>
      <t>AE</t>
    </r>
    <r>
      <rPr>
        <sz val="10"/>
        <rFont val="Arial"/>
        <family val="2"/>
      </rPr>
      <t xml:space="preserve"> se aplica a</t>
    </r>
  </si>
  <si>
    <t>0.4H</t>
  </si>
  <si>
    <t>Y produce un momento respecto al punto A igual a</t>
  </si>
  <si>
    <r>
      <t>MΔP</t>
    </r>
    <r>
      <rPr>
        <vertAlign val="subscript"/>
        <sz val="10"/>
        <rFont val="Calibri"/>
        <family val="2"/>
      </rPr>
      <t>AE</t>
    </r>
  </si>
  <si>
    <r>
      <t>Cálculo de la fuerza P</t>
    </r>
    <r>
      <rPr>
        <b/>
        <vertAlign val="subscript"/>
        <sz val="10"/>
        <rFont val="Arial"/>
        <family val="2"/>
      </rPr>
      <t>IR</t>
    </r>
  </si>
  <si>
    <t>Peso del suelo detrás del estribo</t>
  </si>
  <si>
    <r>
      <t>W</t>
    </r>
    <r>
      <rPr>
        <vertAlign val="subscript"/>
        <sz val="10"/>
        <rFont val="Calibri"/>
        <family val="2"/>
      </rPr>
      <t>S</t>
    </r>
    <r>
      <rPr>
        <sz val="10"/>
        <rFont val="Calibri"/>
        <family val="2"/>
      </rPr>
      <t>=EV</t>
    </r>
  </si>
  <si>
    <r>
      <t>W</t>
    </r>
    <r>
      <rPr>
        <vertAlign val="subscript"/>
        <sz val="10"/>
        <rFont val="Calibri"/>
        <family val="2"/>
      </rPr>
      <t>w</t>
    </r>
  </si>
  <si>
    <t>Peso del concreto del estribo</t>
  </si>
  <si>
    <r>
      <t>P</t>
    </r>
    <r>
      <rPr>
        <vertAlign val="subscript"/>
        <sz val="10"/>
        <rFont val="Calibri"/>
        <family val="2"/>
      </rPr>
      <t>IR</t>
    </r>
  </si>
  <si>
    <t>Combinación más desfavorable de fuerzas debidas al sismo</t>
  </si>
  <si>
    <r>
      <t xml:space="preserve">100% del empuje activo sísmico </t>
    </r>
    <r>
      <rPr>
        <sz val="10"/>
        <rFont val="Calibri"/>
        <family val="2"/>
      </rPr>
      <t>ΔP</t>
    </r>
    <r>
      <rPr>
        <vertAlign val="subscript"/>
        <sz val="10"/>
        <rFont val="Calibri"/>
        <family val="2"/>
      </rPr>
      <t>AE</t>
    </r>
    <r>
      <rPr>
        <sz val="10"/>
        <rFont val="Arial"/>
        <family val="2"/>
      </rPr>
      <t>,más el 50% de la fuerza sismica P</t>
    </r>
    <r>
      <rPr>
        <vertAlign val="subscript"/>
        <sz val="10"/>
        <rFont val="Arial"/>
        <family val="2"/>
      </rPr>
      <t>IR</t>
    </r>
  </si>
  <si>
    <r>
      <t xml:space="preserve">50% de </t>
    </r>
    <r>
      <rPr>
        <sz val="10"/>
        <rFont val="Calibri"/>
        <family val="2"/>
      </rPr>
      <t>ΔP</t>
    </r>
    <r>
      <rPr>
        <vertAlign val="subscript"/>
        <sz val="10"/>
        <rFont val="Calibri"/>
        <family val="2"/>
      </rPr>
      <t>AE</t>
    </r>
    <r>
      <rPr>
        <sz val="10"/>
        <rFont val="Calibri"/>
        <family val="2"/>
      </rPr>
      <t xml:space="preserve"> </t>
    </r>
    <r>
      <rPr>
        <sz val="10"/>
        <rFont val="Arial"/>
        <family val="2"/>
      </rPr>
      <t>(pero no menos que el empuje estático EH),más el 100% de la fuerza sismica P</t>
    </r>
    <r>
      <rPr>
        <vertAlign val="subscript"/>
        <sz val="10"/>
        <rFont val="Arial"/>
        <family val="2"/>
      </rPr>
      <t>IR</t>
    </r>
  </si>
  <si>
    <t>Nota: puesto que la combinación del estado límite de evento extremo I incluye  el empuje estático EH, se emplea la diferencia de empujes  para la valoración de la fuerza sísmica sobre el estribo</t>
  </si>
  <si>
    <r>
      <t>Punto de aplicación de la fuerza sísmica P</t>
    </r>
    <r>
      <rPr>
        <vertAlign val="subscript"/>
        <sz val="10"/>
        <rFont val="Arial"/>
        <family val="2"/>
      </rPr>
      <t>AE</t>
    </r>
    <r>
      <rPr>
        <b/>
        <sz val="10"/>
        <rFont val="Arial"/>
        <family val="2"/>
      </rPr>
      <t xml:space="preserve"> </t>
    </r>
    <r>
      <rPr>
        <sz val="10"/>
        <rFont val="Arial"/>
        <family val="2"/>
      </rPr>
      <t>debida al empuje dinámico (Mononobe Okabe): de acuerdo con A11.3.1 puede suponerse que la resultante de fuerzas sísmicas debidas al empuje del terreno se aplica a una altura entre 0.4H</t>
    </r>
    <r>
      <rPr>
        <vertAlign val="subscript"/>
        <sz val="10"/>
        <rFont val="Arial"/>
        <family val="2"/>
      </rPr>
      <t>estibo</t>
    </r>
    <r>
      <rPr>
        <sz val="10"/>
        <rFont val="Arial"/>
        <family val="2"/>
      </rPr>
      <t xml:space="preserve"> y 0.5H</t>
    </r>
    <r>
      <rPr>
        <vertAlign val="subscript"/>
        <sz val="10"/>
        <rFont val="Arial"/>
        <family val="2"/>
      </rPr>
      <t>estribo</t>
    </r>
    <r>
      <rPr>
        <sz val="10"/>
        <rFont val="Arial"/>
        <family val="2"/>
      </rPr>
      <t>.</t>
    </r>
  </si>
  <si>
    <r>
      <t>Es de notarse que la Norma no indica cuál debe ser el punto de aplicación de la fuerza inercial debida al peso del muro P</t>
    </r>
    <r>
      <rPr>
        <vertAlign val="subscript"/>
        <sz val="10"/>
        <rFont val="Arial"/>
        <family val="2"/>
      </rPr>
      <t>IR</t>
    </r>
    <r>
      <rPr>
        <sz val="10"/>
        <rFont val="Arial"/>
        <family val="2"/>
      </rPr>
      <t>.</t>
    </r>
  </si>
  <si>
    <t>Se supone que la fuerza sísmica se aplica una altura igual a</t>
  </si>
  <si>
    <r>
      <t>0.4H</t>
    </r>
    <r>
      <rPr>
        <vertAlign val="subscript"/>
        <sz val="10"/>
        <rFont val="Arial"/>
        <family val="2"/>
      </rPr>
      <t>estribo</t>
    </r>
  </si>
  <si>
    <t>Momento producido por la fuerza sísmica horizontal EQ estribo</t>
  </si>
  <si>
    <r>
      <t>M</t>
    </r>
    <r>
      <rPr>
        <vertAlign val="subscript"/>
        <sz val="10"/>
        <rFont val="Calibri"/>
        <family val="2"/>
      </rPr>
      <t>P,SEIS,A</t>
    </r>
  </si>
  <si>
    <r>
      <t>Fuerza sísmica H</t>
    </r>
    <r>
      <rPr>
        <b/>
        <vertAlign val="subscript"/>
        <sz val="10"/>
        <rFont val="Arial"/>
        <family val="2"/>
      </rPr>
      <t>bu</t>
    </r>
    <r>
      <rPr>
        <b/>
        <sz val="10"/>
        <rFont val="Arial"/>
        <family val="2"/>
      </rPr>
      <t xml:space="preserve"> proveniente de la superestructura. C.11.6.5.1.</t>
    </r>
  </si>
  <si>
    <t>De acuerdo con C.11.6.5.1 "cuando un muro soporta la estructura de un puente, las fuerzas sísmicas de diseño también deben incluir las fuerzas sísmicas transferidas al puente a través de los elementos de apoyo que no se deslizan libremente, por ejemplo apoyos elastoméricos, de acuerdo con el artítuclo 14.6.3".</t>
  </si>
  <si>
    <r>
      <t>A su vez la fuerza de fricción por desplazamiento H</t>
    </r>
    <r>
      <rPr>
        <vertAlign val="subscript"/>
        <sz val="10"/>
        <rFont val="Arial"/>
        <family val="2"/>
      </rPr>
      <t>bu</t>
    </r>
    <r>
      <rPr>
        <sz val="10"/>
        <rFont val="Arial"/>
        <family val="2"/>
      </rPr>
      <t xml:space="preserve"> es</t>
    </r>
  </si>
  <si>
    <r>
      <t>H</t>
    </r>
    <r>
      <rPr>
        <vertAlign val="subscript"/>
        <sz val="10"/>
        <rFont val="Calibri"/>
        <family val="2"/>
      </rPr>
      <t>bu</t>
    </r>
    <r>
      <rPr>
        <sz val="10"/>
        <rFont val="Calibri"/>
        <family val="2"/>
      </rPr>
      <t xml:space="preserve"> = μP</t>
    </r>
    <r>
      <rPr>
        <vertAlign val="subscript"/>
        <sz val="10"/>
        <rFont val="Calibri"/>
        <family val="2"/>
      </rPr>
      <t>u</t>
    </r>
  </si>
  <si>
    <r>
      <t>H</t>
    </r>
    <r>
      <rPr>
        <vertAlign val="subscript"/>
        <sz val="10"/>
        <rFont val="Calibri"/>
        <family val="2"/>
      </rPr>
      <t>bu</t>
    </r>
  </si>
  <si>
    <t>Carga lateral transmitida a la superestructura y a la infraestructura por los apoyos, obtenida a partir de las combinaciones de carga de resistencia, aplicables y de evento extremo de la tabla 3.4.1-1</t>
  </si>
  <si>
    <r>
      <t>P</t>
    </r>
    <r>
      <rPr>
        <vertAlign val="subscript"/>
        <sz val="10"/>
        <rFont val="Calibri"/>
        <family val="2"/>
      </rPr>
      <t>u</t>
    </r>
  </si>
  <si>
    <t>Fuerza de compresión, obtenida a partir de las combinaciones de carga de resistencia aplicables y eventos extremo de la tabla 3.4.1-1.</t>
  </si>
  <si>
    <t>μ</t>
  </si>
  <si>
    <t>Coeficiente de fricción.</t>
  </si>
  <si>
    <t>Esta fuerza horizontal proveniente de la superestructura se aplica a la altura del apoyo de las vigas. De la geometría del estribo se concluye que la altura entre el punto del estribo A y el apoyo de las vigas es</t>
  </si>
  <si>
    <r>
      <t>En consecuencia, el momento de desestabilización que la fuerza horizontal H</t>
    </r>
    <r>
      <rPr>
        <vertAlign val="subscript"/>
        <sz val="10"/>
        <rFont val="Arial"/>
        <family val="2"/>
      </rPr>
      <t>bu</t>
    </r>
    <r>
      <rPr>
        <sz val="10"/>
        <rFont val="Arial"/>
        <family val="2"/>
      </rPr>
      <t>, proveniente de la superestructura produce con respecto al punto A es</t>
    </r>
  </si>
  <si>
    <r>
      <t>Mh</t>
    </r>
    <r>
      <rPr>
        <vertAlign val="subscript"/>
        <sz val="10"/>
        <rFont val="Calibri"/>
        <family val="2"/>
      </rPr>
      <t>bu</t>
    </r>
  </si>
  <si>
    <t>Resumen de las acciones sísmicas sobre el estribo</t>
  </si>
  <si>
    <t>Fuerzas horizontales</t>
  </si>
  <si>
    <r>
      <t>H</t>
    </r>
    <r>
      <rPr>
        <vertAlign val="subscript"/>
        <sz val="10"/>
        <rFont val="Arial"/>
        <family val="2"/>
      </rPr>
      <t>bu</t>
    </r>
  </si>
  <si>
    <t>Momentos de desestabilización respecto al punto A</t>
  </si>
  <si>
    <r>
      <t>M P</t>
    </r>
    <r>
      <rPr>
        <vertAlign val="subscript"/>
        <sz val="10"/>
        <rFont val="Arial"/>
        <family val="2"/>
      </rPr>
      <t>seis</t>
    </r>
  </si>
  <si>
    <r>
      <t>MH</t>
    </r>
    <r>
      <rPr>
        <vertAlign val="subscript"/>
        <sz val="10"/>
        <rFont val="Arial"/>
        <family val="2"/>
      </rPr>
      <t>bu</t>
    </r>
  </si>
  <si>
    <t>De acuerdo con 4.7.4.4 la longitud mínima de apoyo es</t>
  </si>
  <si>
    <t>N</t>
  </si>
  <si>
    <t>(200+0.00017L+0.0067H)(1+0.000125S²)</t>
  </si>
  <si>
    <t>(4.7.4.4-1)</t>
  </si>
  <si>
    <t>Longitud mínima de apoyo, en mm, medida perpendicularmete al eje del apoyo.</t>
  </si>
  <si>
    <t>L</t>
  </si>
  <si>
    <t>Longitud del puente (mm).</t>
  </si>
  <si>
    <t>Altura promedio de las columnas que soportan el tablero del puente. En puentes de una luz, H=0</t>
  </si>
  <si>
    <t>S</t>
  </si>
  <si>
    <t>Ángulo de sesgo del puente.</t>
  </si>
  <si>
    <t>Sustituyendo los valores numéricos en la ecuación 4.7.4.4-1 se obtiene</t>
  </si>
  <si>
    <t>Mayoración del valor N de acuero con la tabla 4.7.4.4-1, para un puente ubicado en la zona sísmica 3 se tiene un porcentaje del 150%</t>
  </si>
  <si>
    <t>En consecuencia</t>
  </si>
  <si>
    <r>
      <t>N</t>
    </r>
    <r>
      <rPr>
        <vertAlign val="subscript"/>
        <sz val="10"/>
        <rFont val="Arial"/>
        <family val="2"/>
      </rPr>
      <t>ESTRIBO</t>
    </r>
  </si>
  <si>
    <t>Verificación de la estabilidad y cálculo de los esfuerzos sobre el suelo</t>
  </si>
  <si>
    <t>Verificación por estabilidad al volcamiento y al deslizamiento</t>
  </si>
  <si>
    <t>Criterio: emplear los máximos factores para cargas permanentes (tabla 3.4.1-2) para las acciones que producen inestabilidad y los mínimos para las acciones que producen estabilidad.</t>
  </si>
  <si>
    <t>Se analizarán los siguientes estados límites</t>
  </si>
  <si>
    <t>Resistencia I</t>
  </si>
  <si>
    <t>Evento extremo I</t>
  </si>
  <si>
    <t>Servicio I</t>
  </si>
  <si>
    <t>Caso de carga: estribo más superestructura</t>
  </si>
  <si>
    <t>Acciones horizontales sobre el estribo</t>
  </si>
  <si>
    <t>Origen</t>
  </si>
  <si>
    <t>Peso (t/m)</t>
  </si>
  <si>
    <r>
      <t>Y</t>
    </r>
    <r>
      <rPr>
        <vertAlign val="subscript"/>
        <sz val="10"/>
        <rFont val="Arial"/>
        <family val="2"/>
      </rPr>
      <t>A</t>
    </r>
    <r>
      <rPr>
        <sz val="10"/>
        <rFont val="Arial"/>
        <family val="2"/>
      </rPr>
      <t xml:space="preserve"> (m)</t>
    </r>
  </si>
  <si>
    <r>
      <t>M</t>
    </r>
    <r>
      <rPr>
        <vertAlign val="subscript"/>
        <sz val="10"/>
        <rFont val="Arial"/>
        <family val="2"/>
      </rPr>
      <t>A</t>
    </r>
    <r>
      <rPr>
        <sz val="10"/>
        <rFont val="Arial"/>
        <family val="2"/>
      </rPr>
      <t xml:space="preserve"> (kN⋅m/m)</t>
    </r>
  </si>
  <si>
    <t>Resumen de fuerzas (kN.m/m) con respecto al punto A</t>
  </si>
  <si>
    <t>Fuerza</t>
  </si>
  <si>
    <t>Dirección</t>
  </si>
  <si>
    <t>Momento</t>
  </si>
  <si>
    <t>Sentido</t>
  </si>
  <si>
    <t>DC,SUP</t>
  </si>
  <si>
    <t>Vertical</t>
  </si>
  <si>
    <t>ESTABIL</t>
  </si>
  <si>
    <t>DW,SUP</t>
  </si>
  <si>
    <t>Horizonta</t>
  </si>
  <si>
    <t>DESEST</t>
  </si>
  <si>
    <t>DC, EST</t>
  </si>
  <si>
    <t>EV, EST</t>
  </si>
  <si>
    <r>
      <t>LS</t>
    </r>
    <r>
      <rPr>
        <vertAlign val="subscript"/>
        <sz val="10"/>
        <rFont val="Arial"/>
        <family val="2"/>
      </rPr>
      <t>X</t>
    </r>
    <r>
      <rPr>
        <sz val="10"/>
        <rFont val="Arial"/>
        <family val="2"/>
      </rPr>
      <t>, SOB</t>
    </r>
  </si>
  <si>
    <r>
      <t>LS</t>
    </r>
    <r>
      <rPr>
        <vertAlign val="subscript"/>
        <sz val="10"/>
        <rFont val="Arial"/>
        <family val="2"/>
      </rPr>
      <t>Y</t>
    </r>
    <r>
      <rPr>
        <sz val="10"/>
        <rFont val="Arial"/>
        <family val="2"/>
      </rPr>
      <t>, SOB</t>
    </r>
  </si>
  <si>
    <t>EH,EMP</t>
  </si>
  <si>
    <t>Acciones verticales</t>
  </si>
  <si>
    <r>
      <t xml:space="preserve">Valores extremos de </t>
    </r>
    <r>
      <rPr>
        <sz val="10"/>
        <rFont val="Calibri"/>
        <family val="2"/>
      </rPr>
      <t>γ</t>
    </r>
    <r>
      <rPr>
        <vertAlign val="subscript"/>
        <sz val="10"/>
        <rFont val="Arial"/>
        <family val="2"/>
      </rPr>
      <t>p</t>
    </r>
  </si>
  <si>
    <r>
      <rPr>
        <sz val="10"/>
        <rFont val="Calibri"/>
        <family val="2"/>
      </rPr>
      <t>γ</t>
    </r>
    <r>
      <rPr>
        <vertAlign val="subscript"/>
        <sz val="10"/>
        <rFont val="Arial"/>
        <family val="2"/>
      </rPr>
      <t>p</t>
    </r>
  </si>
  <si>
    <t>Máximo</t>
  </si>
  <si>
    <t>Mínimo</t>
  </si>
  <si>
    <t>ES</t>
  </si>
  <si>
    <t>EQ</t>
  </si>
  <si>
    <t>Fuerzas verticales (kN/m). Caso de carga: estribo más superestructura</t>
  </si>
  <si>
    <t>DC SUP</t>
  </si>
  <si>
    <t>DC EST</t>
  </si>
  <si>
    <t>LS.LL+IM</t>
  </si>
  <si>
    <t>Est lim</t>
  </si>
  <si>
    <r>
      <t>F</t>
    </r>
    <r>
      <rPr>
        <vertAlign val="subscript"/>
        <sz val="10"/>
        <rFont val="Arial"/>
        <family val="2"/>
      </rPr>
      <t>y</t>
    </r>
  </si>
  <si>
    <t>Caso Max</t>
  </si>
  <si>
    <t>Resist I</t>
  </si>
  <si>
    <t>Caso Min</t>
  </si>
  <si>
    <t>Evento Extremo I</t>
  </si>
  <si>
    <t>Fact = 1</t>
  </si>
  <si>
    <t>Nótese que se tomó  igual a 0.50 para las cargas (LL+IM) y LS para el evento extremo I, de acuerdo con la alternativa indicada en C.3.4.1.</t>
  </si>
  <si>
    <t>Momentos de estabilización (kN.m). Caso de carga: estribo más superestructura</t>
  </si>
  <si>
    <r>
      <t>M</t>
    </r>
    <r>
      <rPr>
        <vertAlign val="subscript"/>
        <sz val="10"/>
        <rFont val="Arial"/>
        <family val="2"/>
      </rPr>
      <t>A</t>
    </r>
    <r>
      <rPr>
        <vertAlign val="subscript"/>
        <sz val="10"/>
        <rFont val="Arial"/>
        <family val="2"/>
      </rPr>
      <t>y</t>
    </r>
  </si>
  <si>
    <t>Nota. Se supuso que para las solicitaciones mínimas no actuan ni la fuerza de frenado (BR) ni la sobrecarga por carga viva (LS).</t>
  </si>
  <si>
    <t>Fuerzas horizontales (kN). Caso de carga: estribo más superestructura</t>
  </si>
  <si>
    <t>LS BR</t>
  </si>
  <si>
    <t>EQ Pseis</t>
  </si>
  <si>
    <t>EQ Hbu</t>
  </si>
  <si>
    <t>FX</t>
  </si>
  <si>
    <t>Se tomó  igual a 0,50 para las cargas LS y BR para el evento extremo 1, de acuerdo con la alternativa indicada en C.3.4.1.</t>
  </si>
  <si>
    <t>Momentos de desestabilización debidos a fuerzas horizontales (kN.m). Casos de Carga</t>
  </si>
  <si>
    <t>Verificación al volcamiento</t>
  </si>
  <si>
    <t>Se debe garantizar la estabilidad del estribo sometido a la combinación de cargas correspondientes al estado límite de resistencia 1 (11.6.3) y de evento extremo 1 (11.6.5). La combinación de cargas del estado límite de servicio (10.5.2) se emplea para la determinación de los asentamientos del suelo, de los movimientos horizontales de la cimentación, para el análisis de la estabilidad global del estribo y para la verificación por socavación del estribo.</t>
  </si>
  <si>
    <t>Con el propósito de comparar resultados y procedimientos se lleva a cabo la verifiación al volcamiento suponiendo que el estribo se encuentra cimentado sobre los dos tipos de suelos definidos en la Norma. Esto es: suelo no rocoso (suelo) y suelo rocoso (roca).</t>
  </si>
  <si>
    <r>
      <t xml:space="preserve">El estribo se encuentra cimentado sobre </t>
    </r>
    <r>
      <rPr>
        <b/>
        <sz val="10"/>
        <rFont val="Arial"/>
        <family val="2"/>
      </rPr>
      <t>suelo no rocoso (suelo)</t>
    </r>
    <r>
      <rPr>
        <sz val="10"/>
        <rFont val="Arial"/>
        <family val="2"/>
      </rPr>
      <t>. Estado límite de resistencia 1</t>
    </r>
  </si>
  <si>
    <t>Verificación de las excentricidades de la resultante de cargas verticales</t>
  </si>
  <si>
    <t>Sustituyendo los valores numéricos obtenidos en las tablas anteriores se obtiene la excentricidades en la siguiente tabla</t>
  </si>
  <si>
    <t>Suelo no rocoso</t>
  </si>
  <si>
    <t>Estado límite</t>
  </si>
  <si>
    <t>Caso</t>
  </si>
  <si>
    <t>Fy</t>
  </si>
  <si>
    <t>MUY</t>
  </si>
  <si>
    <t>MUX</t>
  </si>
  <si>
    <t>e</t>
  </si>
  <si>
    <t>emax</t>
  </si>
  <si>
    <t>Cumple</t>
  </si>
  <si>
    <t>Res últ</t>
  </si>
  <si>
    <t>Máx</t>
  </si>
  <si>
    <t>Mín</t>
  </si>
  <si>
    <t>De acuerdo con 11.6.3.3 en las cimentaciones sobre suelo no rocoso "la resultante de fuerzas de reacción debe estar dentro de una distancia central igual a dos terceras partes del ancho de la base".</t>
  </si>
  <si>
    <t>Estado límite de evento extremo 1 (A.11.6.5). Suelo no rocoso y suelo rocoso</t>
  </si>
  <si>
    <r>
      <t xml:space="preserve">Para el caso de un evento sísmico, la excentricidad de la resultante de fuerzas verticales debe localizarse dentro de los dos tercios medios de la base para </t>
    </r>
    <r>
      <rPr>
        <sz val="10"/>
        <rFont val="Calibri"/>
        <family val="2"/>
      </rPr>
      <t>γ</t>
    </r>
    <r>
      <rPr>
        <vertAlign val="subscript"/>
        <sz val="10"/>
        <rFont val="Arial"/>
        <family val="2"/>
      </rPr>
      <t>EQ</t>
    </r>
    <r>
      <rPr>
        <sz val="10"/>
        <rFont val="Arial"/>
        <family val="2"/>
      </rPr>
      <t xml:space="preserve">=0 y dentro de los ocho décimos medios de la bases para </t>
    </r>
    <r>
      <rPr>
        <sz val="10"/>
        <rFont val="Calibri"/>
        <family val="2"/>
      </rPr>
      <t>γ</t>
    </r>
    <r>
      <rPr>
        <vertAlign val="subscript"/>
        <sz val="10"/>
        <rFont val="Arial"/>
        <family val="2"/>
      </rPr>
      <t>EQ</t>
    </r>
    <r>
      <rPr>
        <sz val="10"/>
        <rFont val="Arial"/>
        <family val="2"/>
      </rPr>
      <t>=1,0. Para valores entre 0 y 1,0 la restricción de la ubicación de la resultante debe obtenerse por medio de interpolación líneal de los valores dados en el Artículo 11.6.5.</t>
    </r>
  </si>
  <si>
    <t>EVE EXT</t>
  </si>
  <si>
    <t>Esfuerzos sobre el suelo</t>
  </si>
  <si>
    <t>Los esfuerzos sobre el suelo se obtienen empleando la combinación de cargas del estado límite de resistencia 1.</t>
  </si>
  <si>
    <t>De acuerdo con 10.6.3 "la capacidad de carga de las zapatas debe determinarse con base en el nivel freático más alto previsto para el sitio en que se ubica la zapata".</t>
  </si>
  <si>
    <r>
      <t>La capacidad de carga mayorada, q</t>
    </r>
    <r>
      <rPr>
        <vertAlign val="subscript"/>
        <sz val="10"/>
        <rFont val="Arial"/>
        <family val="2"/>
      </rPr>
      <t>R</t>
    </r>
    <r>
      <rPr>
        <sz val="10"/>
        <rFont val="Arial"/>
        <family val="2"/>
      </rPr>
      <t>, en el estado límite debe tomarse como</t>
    </r>
  </si>
  <si>
    <r>
      <t>q</t>
    </r>
    <r>
      <rPr>
        <vertAlign val="subscript"/>
        <sz val="10"/>
        <rFont val="Calibri"/>
        <family val="2"/>
      </rPr>
      <t>R</t>
    </r>
  </si>
  <si>
    <r>
      <t>φ</t>
    </r>
    <r>
      <rPr>
        <vertAlign val="subscript"/>
        <sz val="10"/>
        <rFont val="Calibri"/>
        <family val="2"/>
      </rPr>
      <t>B</t>
    </r>
    <r>
      <rPr>
        <sz val="10"/>
        <rFont val="Calibri"/>
        <family val="2"/>
      </rPr>
      <t>q</t>
    </r>
    <r>
      <rPr>
        <vertAlign val="subscript"/>
        <sz val="10"/>
        <rFont val="Calibri"/>
        <family val="2"/>
      </rPr>
      <t>N</t>
    </r>
  </si>
  <si>
    <r>
      <t>φ</t>
    </r>
    <r>
      <rPr>
        <vertAlign val="subscript"/>
        <sz val="10"/>
        <rFont val="Calibri"/>
        <family val="2"/>
      </rPr>
      <t>B</t>
    </r>
  </si>
  <si>
    <t>Factor de resistencia</t>
  </si>
  <si>
    <r>
      <t>q</t>
    </r>
    <r>
      <rPr>
        <vertAlign val="subscript"/>
        <sz val="10"/>
        <rFont val="Calibri"/>
        <family val="2"/>
      </rPr>
      <t>N</t>
    </r>
  </si>
  <si>
    <t>Capacidad de carga nominal</t>
  </si>
  <si>
    <t>De acuerdo con 11.6.3.2, la capacidad portante debe investigarse en el estado límite de resistencia empleando cargas y resistencias mayoradas suponiendo la siguiente distribución de esfuerzos del suelo</t>
  </si>
  <si>
    <r>
      <t xml:space="preserve">El estribo es soportando por una cimentación apoyada sobre un </t>
    </r>
    <r>
      <rPr>
        <b/>
        <sz val="10"/>
        <rFont val="Arial"/>
        <family val="2"/>
      </rPr>
      <t>suelo no rocoso</t>
    </r>
    <r>
      <rPr>
        <sz val="10"/>
        <rFont val="Arial"/>
        <family val="2"/>
      </rPr>
      <t>.</t>
    </r>
  </si>
  <si>
    <t>El esfuerzo vertical debe calcularse suponiendo un esfuerzo uniforme distribuido sobre un área efectiva de la base</t>
  </si>
  <si>
    <r>
      <t xml:space="preserve">De acuerdo con la tabla 10.5.5.2.2-1, se debe tomar un factor de </t>
    </r>
    <r>
      <rPr>
        <sz val="10"/>
        <rFont val="Calibri"/>
        <family val="2"/>
      </rPr>
      <t>φ</t>
    </r>
    <r>
      <rPr>
        <vertAlign val="subscript"/>
        <sz val="10"/>
        <rFont val="Arial"/>
        <family val="2"/>
      </rPr>
      <t>B</t>
    </r>
    <r>
      <rPr>
        <sz val="10"/>
        <rFont val="Arial"/>
        <family val="2"/>
      </rPr>
      <t xml:space="preserve"> de resistencia para capacidad de carga igual a</t>
    </r>
  </si>
  <si>
    <t>Por consiguiente, la capacidad de carga mayorada del suelo es</t>
  </si>
  <si>
    <t>Esfuerzo último actuante sobre suelo no rocoso</t>
  </si>
  <si>
    <r>
      <rPr>
        <sz val="10"/>
        <rFont val="Calibri"/>
        <family val="2"/>
      </rPr>
      <t>σ</t>
    </r>
    <r>
      <rPr>
        <vertAlign val="subscript"/>
        <sz val="10"/>
        <rFont val="Calibri"/>
        <family val="2"/>
      </rPr>
      <t>V</t>
    </r>
  </si>
  <si>
    <r>
      <t>q</t>
    </r>
    <r>
      <rPr>
        <vertAlign val="subscript"/>
        <sz val="10"/>
        <rFont val="Arial"/>
        <family val="2"/>
      </rPr>
      <t>R</t>
    </r>
  </si>
  <si>
    <t>Nota. De acuerdo con la Norma, la ecuación (11.6.3.2-1) se debe emplear para la determinación del esfuerzo sobre el suelo debido al estado límite de resistencia. Sin embargo, se muestra a continuación el análisis de esfuerzos sobre el suelo, sometido al estado limite de evento extremo 1, empleando la misma ecuación.</t>
  </si>
  <si>
    <r>
      <t>σ</t>
    </r>
    <r>
      <rPr>
        <vertAlign val="subscript"/>
        <sz val="10"/>
        <rFont val="Calibri"/>
        <family val="2"/>
      </rPr>
      <t>último</t>
    </r>
  </si>
  <si>
    <t>Eve Ext</t>
  </si>
  <si>
    <t>Y para el estado límite de servicio se obtiene</t>
  </si>
  <si>
    <t>Servicio</t>
  </si>
  <si>
    <t>El estribo es soportando por una cimentación apoyada sobre roca.</t>
  </si>
  <si>
    <r>
      <t xml:space="preserve">El esfuerzo vertical debe calcularse suponiendo un esfuerzo linealmente distribuido sobre el área efectiva de la base como se ilustra en la figura 11.6.3.2-2. Los esfuerzos </t>
    </r>
    <r>
      <rPr>
        <sz val="10"/>
        <rFont val="Calibri"/>
        <family val="2"/>
      </rPr>
      <t>σ</t>
    </r>
    <r>
      <rPr>
        <vertAlign val="subscript"/>
        <sz val="10"/>
        <rFont val="Arial"/>
        <family val="2"/>
      </rPr>
      <t>v,max</t>
    </r>
    <r>
      <rPr>
        <sz val="10"/>
        <rFont val="Arial"/>
        <family val="2"/>
      </rPr>
      <t xml:space="preserve"> y σ</t>
    </r>
    <r>
      <rPr>
        <vertAlign val="subscript"/>
        <sz val="10"/>
        <rFont val="Arial"/>
        <family val="2"/>
      </rPr>
      <t>v,min</t>
    </r>
    <r>
      <rPr>
        <sz val="10"/>
        <rFont val="Arial"/>
        <family val="2"/>
      </rPr>
      <t xml:space="preserve"> se calculan de acuerdo a los siguientes criterios</t>
    </r>
  </si>
  <si>
    <t>A.</t>
  </si>
  <si>
    <t>Suelo rocoso: si la resultante se encuentra dentro del tercio medio de la zapata</t>
  </si>
  <si>
    <t>9/10 B</t>
  </si>
  <si>
    <t>Terc med</t>
  </si>
  <si>
    <t>Rest Últ</t>
  </si>
  <si>
    <t>Verificación del desplazamiento del estribo</t>
  </si>
  <si>
    <t>De acuerdo con los comentarios al Artículo 10.6.3.4 "la falla por desplazamiento se produce si los efectos de fuerza debidos a la componente horizontal de las cargas excede las más crítica de la resistencia al cortante mayorada de los suelos o la resistencia al cortante mayorada en la interfaz entre el suelo y la cimentación".</t>
  </si>
  <si>
    <t>La resistencia mayorada contra la falla por deslizamiento, si se desprecia la resistencia pasiva del suelo se debe tomar como</t>
  </si>
  <si>
    <r>
      <t>R</t>
    </r>
    <r>
      <rPr>
        <vertAlign val="subscript"/>
        <sz val="10"/>
        <rFont val="Calibri"/>
        <family val="2"/>
      </rPr>
      <t>R</t>
    </r>
  </si>
  <si>
    <r>
      <t>φR</t>
    </r>
    <r>
      <rPr>
        <vertAlign val="subscript"/>
        <sz val="10"/>
        <rFont val="Calibri"/>
        <family val="2"/>
      </rPr>
      <t>n</t>
    </r>
    <r>
      <rPr>
        <sz val="10"/>
        <rFont val="Calibri"/>
        <family val="2"/>
      </rPr>
      <t>=φ</t>
    </r>
    <r>
      <rPr>
        <vertAlign val="subscript"/>
        <sz val="10"/>
        <rFont val="Calibri"/>
        <family val="2"/>
      </rPr>
      <t>τ</t>
    </r>
    <r>
      <rPr>
        <sz val="10"/>
        <rFont val="Calibri"/>
        <family val="2"/>
      </rPr>
      <t>R</t>
    </r>
    <r>
      <rPr>
        <vertAlign val="subscript"/>
        <sz val="10"/>
        <rFont val="Calibri"/>
        <family val="2"/>
      </rPr>
      <t>τ</t>
    </r>
  </si>
  <si>
    <r>
      <t>(Para φ</t>
    </r>
    <r>
      <rPr>
        <vertAlign val="subscript"/>
        <sz val="10"/>
        <rFont val="Calibri"/>
        <family val="2"/>
      </rPr>
      <t>ep</t>
    </r>
    <r>
      <rPr>
        <sz val="10"/>
        <rFont val="Calibri"/>
        <family val="2"/>
      </rPr>
      <t>R</t>
    </r>
    <r>
      <rPr>
        <vertAlign val="subscript"/>
        <sz val="10"/>
        <rFont val="Calibri"/>
        <family val="2"/>
      </rPr>
      <t>ep</t>
    </r>
    <r>
      <rPr>
        <sz val="10"/>
        <rFont val="Calibri"/>
        <family val="2"/>
      </rPr>
      <t>=0)</t>
    </r>
  </si>
  <si>
    <t>(10.6.3.4-1)</t>
  </si>
  <si>
    <t>Resistencia nominal de deslizamiento contra la falla por deslizamiento (N).</t>
  </si>
  <si>
    <r>
      <t>φ</t>
    </r>
    <r>
      <rPr>
        <vertAlign val="subscript"/>
        <sz val="10"/>
        <rFont val="Calibri"/>
        <family val="2"/>
      </rPr>
      <t>τ</t>
    </r>
  </si>
  <si>
    <t>Factor de resistencia para la resistencia al cortante entre el suelo y la cimentación</t>
  </si>
  <si>
    <t>(10.5.5.2.2-1)</t>
  </si>
  <si>
    <t>Por otra parte la Norma precisa que si el suelo bajo la zapata es no coheviso, la resistencia nominal al desplazamiento entre el suelo y la cimentación se toma como</t>
  </si>
  <si>
    <r>
      <t>R</t>
    </r>
    <r>
      <rPr>
        <vertAlign val="subscript"/>
        <sz val="10"/>
        <rFont val="Calibri"/>
        <family val="2"/>
      </rPr>
      <t>τ</t>
    </r>
  </si>
  <si>
    <t>Vtanδ</t>
  </si>
  <si>
    <t>(10.6.3.4-2)</t>
  </si>
  <si>
    <t>tanδ</t>
  </si>
  <si>
    <r>
      <t>=tanφ</t>
    </r>
    <r>
      <rPr>
        <vertAlign val="subscript"/>
        <sz val="10"/>
        <rFont val="Calibri"/>
        <family val="2"/>
      </rPr>
      <t>f</t>
    </r>
  </si>
  <si>
    <t>para concreto contra suelo</t>
  </si>
  <si>
    <t>=0,80tanφ</t>
  </si>
  <si>
    <t>para zapatas de concreto prefabricado</t>
  </si>
  <si>
    <r>
      <t>φ</t>
    </r>
    <r>
      <rPr>
        <vertAlign val="subscript"/>
        <sz val="10"/>
        <rFont val="Calibri"/>
        <family val="2"/>
      </rPr>
      <t>f</t>
    </r>
  </si>
  <si>
    <t>ángulo de fricción interna del suelo drenado, en grados.</t>
  </si>
  <si>
    <t>V</t>
  </si>
  <si>
    <t>suma total de cargas verticales</t>
  </si>
  <si>
    <t>Se supone que el suelo de cimentación es arena, que el concreto de la zapata se construye in situ, que el ángulo de fricción interna del suelo de cimentación es 30º y se toma un factor de resistencia para cimentaciones superficiales de concreto fundido in situ arena igual a</t>
  </si>
  <si>
    <t>(Tabla 10.5.5.2.2-1)</t>
  </si>
  <si>
    <t>En estas condiciones</t>
  </si>
  <si>
    <r>
      <t>tanφ</t>
    </r>
    <r>
      <rPr>
        <vertAlign val="subscript"/>
        <sz val="10"/>
        <rFont val="Calibri"/>
        <family val="2"/>
      </rPr>
      <t>f</t>
    </r>
  </si>
  <si>
    <r>
      <t>F</t>
    </r>
    <r>
      <rPr>
        <vertAlign val="subscript"/>
        <sz val="10"/>
        <rFont val="Arial"/>
        <family val="2"/>
      </rPr>
      <t>X</t>
    </r>
  </si>
  <si>
    <r>
      <t>R</t>
    </r>
    <r>
      <rPr>
        <vertAlign val="subscript"/>
        <sz val="10"/>
        <rFont val="Arial"/>
        <family val="2"/>
      </rPr>
      <t>R</t>
    </r>
  </si>
  <si>
    <t>CUMPLE</t>
  </si>
  <si>
    <t>Event ext</t>
  </si>
  <si>
    <t>Diseño de la armadura interior del vástago</t>
  </si>
  <si>
    <t>El diseño se lleva a cabo en la unión vástago zapata, para la acción de las cargas horizontales combinadas de acuerdo con el estado límite de resistencia 1 y de evento extremo 1.</t>
  </si>
  <si>
    <t>Es de notarse que el modelo del vástago en voladizo es muy conservador pues ignora la contribución de las aletas a la estabilidad del mismo. Sin embargo, a medida que el ancho del estribo aumenta, esta contribución disminuye.</t>
  </si>
  <si>
    <t>Empuje estático del terreno</t>
  </si>
  <si>
    <t>Y</t>
  </si>
  <si>
    <r>
      <t>Fuerza sísmica P</t>
    </r>
    <r>
      <rPr>
        <vertAlign val="subscript"/>
        <sz val="10"/>
        <rFont val="Arial"/>
        <family val="2"/>
      </rPr>
      <t>seis</t>
    </r>
  </si>
  <si>
    <r>
      <t>P</t>
    </r>
    <r>
      <rPr>
        <vertAlign val="subscript"/>
        <sz val="10"/>
        <rFont val="Calibri"/>
        <family val="2"/>
      </rPr>
      <t>seis</t>
    </r>
  </si>
  <si>
    <r>
      <t>Fuerza sísmica proveniente de la superestructura H</t>
    </r>
    <r>
      <rPr>
        <vertAlign val="subscript"/>
        <sz val="10"/>
        <rFont val="Arial"/>
        <family val="2"/>
      </rPr>
      <t>bu</t>
    </r>
    <r>
      <rPr>
        <sz val="10"/>
        <rFont val="Arial"/>
        <family val="2"/>
      </rPr>
      <t>.</t>
    </r>
  </si>
  <si>
    <t>Fuerza de frenado BR</t>
  </si>
  <si>
    <t>La fuerza de frenado por m de estribo es</t>
  </si>
  <si>
    <t>y que se encuentra aplicada a 1,8 m de la losa del puente. En consecuencia</t>
  </si>
  <si>
    <r>
      <t xml:space="preserve">Sobrecarga </t>
    </r>
    <r>
      <rPr>
        <b/>
        <sz val="10"/>
        <rFont val="Arial"/>
        <family val="2"/>
      </rPr>
      <t>LS</t>
    </r>
    <r>
      <rPr>
        <sz val="10"/>
        <rFont val="Arial"/>
        <family val="2"/>
      </rPr>
      <t xml:space="preserve"> por carga viva sobre el relleno (3.11.6.4-1)</t>
    </r>
  </si>
  <si>
    <t>Acciones horizontales sobre el estribo. Unión zapata-vástago</t>
  </si>
  <si>
    <t>Ma-a</t>
  </si>
  <si>
    <t>Momento mayorado en la unión zapata vástago: Estado limite de evento extremo 1.</t>
  </si>
  <si>
    <t>Se ignora el momento por la fuerza de frenado, BR, y de la sobrecarga por carga viva, LS, dad la poca probabilidad de que estas fuerzas se presenten simultáneamente con la acción del sismo.</t>
  </si>
  <si>
    <r>
      <t>M</t>
    </r>
    <r>
      <rPr>
        <vertAlign val="subscript"/>
        <sz val="10"/>
        <rFont val="Calibri"/>
        <family val="2"/>
      </rPr>
      <t>u</t>
    </r>
    <r>
      <rPr>
        <sz val="10"/>
        <rFont val="Calibri"/>
        <family val="2"/>
      </rPr>
      <t>=1,5M</t>
    </r>
    <r>
      <rPr>
        <vertAlign val="subscript"/>
        <sz val="10"/>
        <rFont val="Calibri"/>
        <family val="2"/>
      </rPr>
      <t>EH</t>
    </r>
    <r>
      <rPr>
        <sz val="10"/>
        <rFont val="Calibri"/>
        <family val="2"/>
      </rPr>
      <t xml:space="preserve"> + M</t>
    </r>
    <r>
      <rPr>
        <vertAlign val="subscript"/>
        <sz val="10"/>
        <rFont val="Calibri"/>
        <family val="2"/>
      </rPr>
      <t>EQ</t>
    </r>
  </si>
  <si>
    <t>Sustituyendo por los valores numéricos</t>
  </si>
  <si>
    <r>
      <t>M</t>
    </r>
    <r>
      <rPr>
        <vertAlign val="subscript"/>
        <sz val="10"/>
        <rFont val="Calibri"/>
        <family val="2"/>
      </rPr>
      <t>u</t>
    </r>
  </si>
  <si>
    <t>Armadura vástago</t>
  </si>
  <si>
    <r>
      <t>M</t>
    </r>
    <r>
      <rPr>
        <vertAlign val="subscript"/>
        <sz val="10"/>
        <rFont val="Arial"/>
        <family val="2"/>
      </rPr>
      <t>u</t>
    </r>
    <r>
      <rPr>
        <sz val="10"/>
        <rFont val="Arial"/>
        <family val="2"/>
      </rPr>
      <t xml:space="preserve"> (kN.m)</t>
    </r>
  </si>
  <si>
    <t>b (m)</t>
  </si>
  <si>
    <t>d (m)</t>
  </si>
  <si>
    <t>K (kN/m²)</t>
  </si>
  <si>
    <t>p</t>
  </si>
  <si>
    <r>
      <t>A</t>
    </r>
    <r>
      <rPr>
        <vertAlign val="subscript"/>
        <sz val="10"/>
        <rFont val="Arial"/>
        <family val="2"/>
      </rPr>
      <t>s</t>
    </r>
    <r>
      <rPr>
        <sz val="10"/>
        <rFont val="Arial"/>
        <family val="2"/>
      </rPr>
      <t xml:space="preserve"> (cm²)</t>
    </r>
  </si>
  <si>
    <t>fy</t>
  </si>
  <si>
    <t>f'c</t>
  </si>
  <si>
    <t>SEP (cm)</t>
  </si>
  <si>
    <t>Nota: es de interés comparar el momento que se obtiene en la unión vástago zapata debido al estado límite de resistencia 1.</t>
  </si>
  <si>
    <t>Verificación de la armadura mínima del vástago</t>
  </si>
  <si>
    <r>
      <t>El valor M</t>
    </r>
    <r>
      <rPr>
        <vertAlign val="subscript"/>
        <sz val="10"/>
        <rFont val="Arial"/>
        <family val="2"/>
      </rPr>
      <t>cr</t>
    </r>
    <r>
      <rPr>
        <sz val="10"/>
        <rFont val="Arial"/>
        <family val="2"/>
      </rPr>
      <t xml:space="preserve"> dado por la ecuación 5.7.3.3.2-1</t>
    </r>
  </si>
  <si>
    <t>En este caso</t>
  </si>
  <si>
    <r>
      <t>f</t>
    </r>
    <r>
      <rPr>
        <vertAlign val="subscript"/>
        <sz val="10"/>
        <rFont val="Calibri"/>
        <family val="2"/>
      </rPr>
      <t>R</t>
    </r>
  </si>
  <si>
    <r>
      <t>S</t>
    </r>
    <r>
      <rPr>
        <vertAlign val="subscript"/>
        <sz val="10"/>
        <rFont val="Calibri"/>
        <family val="2"/>
      </rPr>
      <t>C</t>
    </r>
  </si>
  <si>
    <r>
      <t>=S</t>
    </r>
    <r>
      <rPr>
        <vertAlign val="subscript"/>
        <sz val="10"/>
        <rFont val="Calibri"/>
        <family val="2"/>
      </rPr>
      <t>nc</t>
    </r>
  </si>
  <si>
    <r>
      <rPr>
        <sz val="10"/>
        <rFont val="Calibri"/>
        <family val="2"/>
      </rPr>
      <t>ϒ</t>
    </r>
    <r>
      <rPr>
        <vertAlign val="subscript"/>
        <sz val="10"/>
        <rFont val="Arial"/>
        <family val="2"/>
      </rPr>
      <t>3</t>
    </r>
  </si>
  <si>
    <r>
      <rPr>
        <sz val="10"/>
        <rFont val="Calibri"/>
        <family val="2"/>
      </rPr>
      <t>ϒ</t>
    </r>
    <r>
      <rPr>
        <vertAlign val="subscript"/>
        <sz val="10"/>
        <rFont val="Arial"/>
        <family val="2"/>
      </rPr>
      <t>1</t>
    </r>
  </si>
  <si>
    <r>
      <t>M</t>
    </r>
    <r>
      <rPr>
        <vertAlign val="subscript"/>
        <sz val="10"/>
        <rFont val="Arial"/>
        <family val="2"/>
      </rPr>
      <t>cr</t>
    </r>
  </si>
  <si>
    <t>Armadura por retracción de fraguado y temperatura. Vástago (5.10.8)</t>
  </si>
  <si>
    <t>Armadura por retracción de fraguado y temperatura alma de la viga.</t>
  </si>
  <si>
    <t>De acuerdo con 5.10.8, el refuerzo por temperatura debe proporcionarse cerca de las superficies expuestas a variaciones diarias de temperatura. El área de refuerzo en cada cara y en cada dirección debe satisfacer</t>
  </si>
  <si>
    <t>&lt;</t>
  </si>
  <si>
    <r>
      <t>A</t>
    </r>
    <r>
      <rPr>
        <vertAlign val="subscript"/>
        <sz val="10"/>
        <rFont val="Arial"/>
        <family val="2"/>
      </rPr>
      <t>s</t>
    </r>
  </si>
  <si>
    <t>750 b h</t>
  </si>
  <si>
    <t>(5.10.8-1)</t>
  </si>
  <si>
    <r>
      <t>2(b+h)f</t>
    </r>
    <r>
      <rPr>
        <vertAlign val="subscript"/>
        <sz val="10"/>
        <rFont val="Arial"/>
        <family val="2"/>
      </rPr>
      <t>y</t>
    </r>
  </si>
  <si>
    <r>
      <t>Para b y h en mm y f</t>
    </r>
    <r>
      <rPr>
        <vertAlign val="subscript"/>
        <sz val="10"/>
        <rFont val="Arial"/>
        <family val="2"/>
      </rPr>
      <t>y</t>
    </r>
    <r>
      <rPr>
        <sz val="10"/>
        <rFont val="Arial"/>
        <family val="2"/>
      </rPr>
      <t xml:space="preserve"> en Mpa.</t>
    </r>
  </si>
  <si>
    <t>Reemplazando los valores numéricos en la ecuación 5.10.8-1, se obtiene</t>
  </si>
  <si>
    <t>Control de agrietamiento del acero del vástago</t>
  </si>
  <si>
    <t>De acuerdo con 5.7.3.4 el espaciamiento s de acero de refuerzo en la capa más cercana a tracción debe satisfacer la siguiente ecuación</t>
  </si>
  <si>
    <t>s</t>
  </si>
  <si>
    <r>
      <t xml:space="preserve">123000 </t>
    </r>
    <r>
      <rPr>
        <sz val="10"/>
        <rFont val="Calibri"/>
        <family val="2"/>
      </rPr>
      <t>ϒ</t>
    </r>
    <r>
      <rPr>
        <vertAlign val="subscript"/>
        <sz val="10"/>
        <rFont val="Calibri"/>
        <family val="2"/>
      </rPr>
      <t>e</t>
    </r>
  </si>
  <si>
    <t>(5.7.3.4-1)</t>
  </si>
  <si>
    <r>
      <t>β</t>
    </r>
    <r>
      <rPr>
        <vertAlign val="subscript"/>
        <sz val="10"/>
        <rFont val="Calibri"/>
        <family val="2"/>
      </rPr>
      <t>s</t>
    </r>
    <r>
      <rPr>
        <sz val="10"/>
        <rFont val="Calibri"/>
        <family val="2"/>
      </rPr>
      <t>f</t>
    </r>
    <r>
      <rPr>
        <vertAlign val="subscript"/>
        <sz val="10"/>
        <rFont val="Calibri"/>
        <family val="2"/>
      </rPr>
      <t>ss</t>
    </r>
  </si>
  <si>
    <t>En la que</t>
  </si>
  <si>
    <r>
      <t>β</t>
    </r>
    <r>
      <rPr>
        <vertAlign val="subscript"/>
        <sz val="10"/>
        <rFont val="Calibri"/>
        <family val="2"/>
      </rPr>
      <t>s</t>
    </r>
  </si>
  <si>
    <t>=</t>
  </si>
  <si>
    <t>1+</t>
  </si>
  <si>
    <r>
      <t>d</t>
    </r>
    <r>
      <rPr>
        <vertAlign val="subscript"/>
        <sz val="10"/>
        <rFont val="Arial"/>
        <family val="2"/>
      </rPr>
      <t>c</t>
    </r>
  </si>
  <si>
    <r>
      <t>0.7 (h-d</t>
    </r>
    <r>
      <rPr>
        <vertAlign val="subscript"/>
        <sz val="10"/>
        <rFont val="Arial"/>
        <family val="2"/>
      </rPr>
      <t>c</t>
    </r>
    <r>
      <rPr>
        <sz val="10"/>
        <rFont val="Arial"/>
        <family val="2"/>
      </rPr>
      <t>)</t>
    </r>
  </si>
  <si>
    <r>
      <rPr>
        <sz val="10"/>
        <rFont val="Calibri"/>
        <family val="2"/>
      </rPr>
      <t>ϒ</t>
    </r>
    <r>
      <rPr>
        <vertAlign val="subscript"/>
        <sz val="10"/>
        <rFont val="Calibri"/>
        <family val="2"/>
      </rPr>
      <t>e</t>
    </r>
  </si>
  <si>
    <t>Factor de exposición e igual a 1 para condición de exposición clase 1</t>
  </si>
  <si>
    <r>
      <t>d</t>
    </r>
    <r>
      <rPr>
        <vertAlign val="subscript"/>
        <sz val="10"/>
        <rFont val="Calibri"/>
        <family val="2"/>
      </rPr>
      <t>c</t>
    </r>
  </si>
  <si>
    <t>Espesor del recubrimiento del concreto medido desde la fibra extrema a tracción hasta el centro del refuerzo más cercano</t>
  </si>
  <si>
    <r>
      <t>f</t>
    </r>
    <r>
      <rPr>
        <vertAlign val="subscript"/>
        <sz val="10"/>
        <rFont val="Calibri"/>
        <family val="2"/>
      </rPr>
      <t>ss</t>
    </r>
  </si>
  <si>
    <t>Esfuerzo de tracción en el acero de refuerzo en el estado límite de servicio.</t>
  </si>
  <si>
    <t>Altura total de la viga (mm)</t>
  </si>
  <si>
    <t>Cálculo del esfuerzo a tracción en el acero para el estado límite de servicio 1.</t>
  </si>
  <si>
    <r>
      <t>M</t>
    </r>
    <r>
      <rPr>
        <vertAlign val="subscript"/>
        <sz val="10"/>
        <rFont val="Calibri"/>
        <family val="2"/>
      </rPr>
      <t>s</t>
    </r>
  </si>
  <si>
    <r>
      <t>=M</t>
    </r>
    <r>
      <rPr>
        <vertAlign val="subscript"/>
        <sz val="10"/>
        <rFont val="Calibri"/>
        <family val="2"/>
      </rPr>
      <t>EH</t>
    </r>
    <r>
      <rPr>
        <sz val="10"/>
        <rFont val="Calibri"/>
        <family val="2"/>
      </rPr>
      <t xml:space="preserve"> + (M</t>
    </r>
    <r>
      <rPr>
        <vertAlign val="subscript"/>
        <sz val="10"/>
        <rFont val="Calibri"/>
        <family val="2"/>
      </rPr>
      <t>BR</t>
    </r>
    <r>
      <rPr>
        <sz val="10"/>
        <rFont val="Calibri"/>
        <family val="2"/>
      </rPr>
      <t>+M</t>
    </r>
    <r>
      <rPr>
        <vertAlign val="subscript"/>
        <sz val="10"/>
        <rFont val="Calibri"/>
        <family val="2"/>
      </rPr>
      <t>LS</t>
    </r>
    <r>
      <rPr>
        <sz val="10"/>
        <rFont val="Calibri"/>
        <family val="2"/>
      </rPr>
      <t>)</t>
    </r>
  </si>
  <si>
    <t>n</t>
  </si>
  <si>
    <t>Relación modular</t>
  </si>
  <si>
    <t>Área de la sección transformada</t>
  </si>
  <si>
    <r>
      <t>nA</t>
    </r>
    <r>
      <rPr>
        <vertAlign val="subscript"/>
        <sz val="10"/>
        <rFont val="Calibri"/>
        <family val="2"/>
      </rPr>
      <t>s</t>
    </r>
  </si>
  <si>
    <t>Posición del eje centroidal de la sección transformada</t>
  </si>
  <si>
    <t>X</t>
  </si>
  <si>
    <t>Momento centroidal de inercia de la sección transformada</t>
  </si>
  <si>
    <t>I</t>
  </si>
  <si>
    <t>Brazo interno de palanca</t>
  </si>
  <si>
    <t>jd</t>
  </si>
  <si>
    <t>Esfuerzo actuante sobre el acero de refuerzo</t>
  </si>
  <si>
    <t>O también</t>
  </si>
  <si>
    <r>
      <t>=M</t>
    </r>
    <r>
      <rPr>
        <vertAlign val="subscript"/>
        <sz val="10"/>
        <rFont val="Calibri"/>
        <family val="2"/>
      </rPr>
      <t>s</t>
    </r>
    <r>
      <rPr>
        <sz val="10"/>
        <rFont val="Calibri"/>
        <family val="2"/>
      </rPr>
      <t>(d-X)n/I</t>
    </r>
  </si>
  <si>
    <t>Sustituyendo los valores numéricos en la ecuación (5.7.3.4-1) se obtiene</t>
  </si>
  <si>
    <t>Diseño de la puntera de la zapata</t>
  </si>
  <si>
    <t>Hipótesis: la zapata se encuentra sobre suelo no rocoso. Estado límite de resistencia 1.</t>
  </si>
  <si>
    <t>Momento con respecto al eje B-B</t>
  </si>
  <si>
    <t>Verificación de la armadura mínima de la zapata.</t>
  </si>
  <si>
    <r>
      <t>El valor de M</t>
    </r>
    <r>
      <rPr>
        <vertAlign val="subscript"/>
        <sz val="10"/>
        <rFont val="Arial"/>
        <family val="2"/>
      </rPr>
      <t>cr</t>
    </r>
    <r>
      <rPr>
        <sz val="10"/>
        <rFont val="Arial"/>
        <family val="2"/>
      </rPr>
      <t xml:space="preserve"> dado por la ecuación 5.7.3.3.2-1 indicada a continuación</t>
    </r>
  </si>
  <si>
    <r>
      <t>De acuerdo con 5.7.3.3.2 y para el diseño a flexión se debe tomar el menor valor entre 1,33 veces M</t>
    </r>
    <r>
      <rPr>
        <vertAlign val="subscript"/>
        <sz val="10"/>
        <rFont val="Arial"/>
        <family val="2"/>
      </rPr>
      <t>u</t>
    </r>
    <r>
      <rPr>
        <sz val="10"/>
        <rFont val="Arial"/>
        <family val="2"/>
      </rPr>
      <t xml:space="preserve"> y M</t>
    </r>
    <r>
      <rPr>
        <vertAlign val="subscript"/>
        <sz val="10"/>
        <rFont val="Arial"/>
        <family val="2"/>
      </rPr>
      <t>cr</t>
    </r>
    <r>
      <rPr>
        <sz val="10"/>
        <rFont val="Arial"/>
        <family val="2"/>
      </rPr>
      <t>. En consecuencia</t>
    </r>
  </si>
  <si>
    <r>
      <t>M</t>
    </r>
    <r>
      <rPr>
        <vertAlign val="subscript"/>
        <sz val="10"/>
        <rFont val="Arial"/>
        <family val="2"/>
      </rPr>
      <t>u</t>
    </r>
  </si>
  <si>
    <t>Verificación del esfuerzo cortante.</t>
  </si>
  <si>
    <r>
      <t>V</t>
    </r>
    <r>
      <rPr>
        <vertAlign val="subscript"/>
        <sz val="10"/>
        <rFont val="Arial"/>
        <family val="2"/>
      </rPr>
      <t>u</t>
    </r>
  </si>
  <si>
    <t>Fuerza cortante máxima resistida por el concreto. De acuerdo con 5.8.3.4.1 "para zapatas de concreto en las cuales la distancia desde el punto de cero fuerza cortante a la cara de la columna, del pilar o del muro es menor que 3d, con o sin refuerzo transversal... pueden usarse los siguientes valores</t>
  </si>
  <si>
    <t>En este ejemplo</t>
  </si>
  <si>
    <r>
      <t>3d</t>
    </r>
    <r>
      <rPr>
        <vertAlign val="subscript"/>
        <sz val="10"/>
        <rFont val="Calibri"/>
        <family val="2"/>
      </rPr>
      <t>v</t>
    </r>
  </si>
  <si>
    <t>Máxima fuerza cortante nominal de acuerdo 5.8.3.3</t>
  </si>
  <si>
    <r>
      <t>V</t>
    </r>
    <r>
      <rPr>
        <vertAlign val="subscript"/>
        <sz val="10"/>
        <rFont val="Calibri"/>
        <family val="2"/>
      </rPr>
      <t>n</t>
    </r>
  </si>
  <si>
    <t>Fuerza cortante nominal resistida por el concreto</t>
  </si>
  <si>
    <r>
      <t>V</t>
    </r>
    <r>
      <rPr>
        <vertAlign val="subscript"/>
        <sz val="10"/>
        <rFont val="Calibri"/>
        <family val="2"/>
      </rPr>
      <t>c</t>
    </r>
  </si>
  <si>
    <t>Fuerza cortante última resistida por el concreto para</t>
  </si>
  <si>
    <t>No se requiere estribos para resistir la fuerza cortante sobre la zapata.</t>
  </si>
  <si>
    <t>Diseño de la zarpa de la zapata</t>
  </si>
  <si>
    <t>Tomando momentos con respecto al eje C-C e incluyendo el peso del relleno, el peso de la zapata y el esfuerzo último del suelo debido al caso mínimo del estado límite de resistencia 1, se obtiene</t>
  </si>
  <si>
    <r>
      <t>M</t>
    </r>
    <r>
      <rPr>
        <vertAlign val="subscript"/>
        <sz val="10"/>
        <rFont val="Calibri"/>
        <family val="2"/>
      </rPr>
      <t>u,C-C</t>
    </r>
  </si>
  <si>
    <r>
      <t>1.33 veces M</t>
    </r>
    <r>
      <rPr>
        <vertAlign val="subscript"/>
        <sz val="10"/>
        <rFont val="Arial"/>
        <family val="2"/>
      </rPr>
      <t>u</t>
    </r>
  </si>
  <si>
    <t>Armadura por retracción de fraguado y temperatura de la zapata (5.10.8)</t>
  </si>
  <si>
    <t>Para</t>
  </si>
  <si>
    <r>
      <t>f</t>
    </r>
    <r>
      <rPr>
        <vertAlign val="subscript"/>
        <sz val="10"/>
        <rFont val="Calibri"/>
        <family val="2"/>
      </rPr>
      <t>y</t>
    </r>
  </si>
  <si>
    <t>g</t>
  </si>
  <si>
    <t>LT</t>
  </si>
  <si>
    <t>M1</t>
  </si>
  <si>
    <t>M2</t>
  </si>
  <si>
    <t>M3</t>
  </si>
  <si>
    <t>M4</t>
  </si>
  <si>
    <t>M5</t>
  </si>
  <si>
    <t>Diámetro</t>
  </si>
  <si>
    <t>Gancho 90</t>
  </si>
  <si>
    <t>c</t>
  </si>
  <si>
    <t>Espesor de apoyo de la superestructura</t>
  </si>
  <si>
    <t xml:space="preserve"> </t>
  </si>
  <si>
    <r>
      <t>M</t>
    </r>
    <r>
      <rPr>
        <vertAlign val="subscript"/>
        <sz val="10"/>
        <rFont val="Arial"/>
        <family val="2"/>
      </rPr>
      <t>ax</t>
    </r>
  </si>
  <si>
    <t>Extrecidad en suelo no rocoso</t>
  </si>
  <si>
    <t>Resist 1 Max</t>
  </si>
  <si>
    <t>Resist 1 Min</t>
  </si>
  <si>
    <t>Event Ext 1 Max</t>
  </si>
  <si>
    <t>Event Ext 1 Min</t>
  </si>
  <si>
    <t>Servicio 1</t>
  </si>
  <si>
    <r>
      <t>σ</t>
    </r>
    <r>
      <rPr>
        <vertAlign val="subscript"/>
        <sz val="10"/>
        <rFont val="Calibri"/>
        <family val="2"/>
      </rPr>
      <t>max</t>
    </r>
  </si>
  <si>
    <r>
      <t>σ</t>
    </r>
    <r>
      <rPr>
        <vertAlign val="subscript"/>
        <sz val="10"/>
        <rFont val="Calibri"/>
        <family val="2"/>
      </rPr>
      <t>min</t>
    </r>
  </si>
  <si>
    <r>
      <t>φ</t>
    </r>
    <r>
      <rPr>
        <vertAlign val="subscript"/>
        <sz val="10"/>
        <rFont val="Calibri"/>
        <family val="2"/>
      </rPr>
      <t>τ'</t>
    </r>
    <r>
      <rPr>
        <sz val="10"/>
        <rFont val="Calibri"/>
        <family val="2"/>
      </rPr>
      <t>tanφf</t>
    </r>
  </si>
  <si>
    <t>Deslizamiento</t>
  </si>
  <si>
    <t>Armadura mínima del vástago</t>
  </si>
  <si>
    <t>Diametro</t>
  </si>
  <si>
    <t>Area</t>
  </si>
  <si>
    <t>Numero</t>
  </si>
  <si>
    <t>-2dc</t>
  </si>
  <si>
    <t>Control de agrietamiento del vástago</t>
  </si>
  <si>
    <t>Cortante de la zapata</t>
  </si>
  <si>
    <t>sep</t>
  </si>
  <si>
    <t>CT</t>
  </si>
  <si>
    <t>#</t>
  </si>
  <si>
    <t>peso m</t>
  </si>
  <si>
    <t>(kg)</t>
  </si>
  <si>
    <t>Masa</t>
  </si>
  <si>
    <t>Volumen</t>
  </si>
  <si>
    <t>(m³)</t>
  </si>
  <si>
    <t>Aleta</t>
  </si>
  <si>
    <t>Coefi</t>
  </si>
  <si>
    <t>heq</t>
  </si>
  <si>
    <t>Δp</t>
  </si>
  <si>
    <t>x</t>
  </si>
  <si>
    <t>Mu Δp</t>
  </si>
  <si>
    <t>M EH</t>
  </si>
  <si>
    <t>M Tot</t>
  </si>
  <si>
    <t>K</t>
  </si>
  <si>
    <t>ρ</t>
  </si>
  <si>
    <t>As</t>
  </si>
  <si>
    <t>Barra</t>
  </si>
  <si>
    <t>Sep</t>
  </si>
  <si>
    <t>Alt est</t>
  </si>
  <si>
    <t>(-)</t>
  </si>
  <si>
    <t>(kN/m²)</t>
  </si>
  <si>
    <t>(mm²)</t>
  </si>
  <si>
    <t>(cm)</t>
  </si>
  <si>
    <t>mm</t>
  </si>
  <si>
    <t>2 estribos</t>
  </si>
  <si>
    <t>Tipo de suelo: Suelo no rocoso (suelo).</t>
  </si>
  <si>
    <t>Figura 11.6.3.2-1</t>
  </si>
  <si>
    <t>Zona 4</t>
  </si>
  <si>
    <r>
      <t xml:space="preserve">Se toma el valor de </t>
    </r>
    <r>
      <rPr>
        <sz val="10"/>
        <rFont val="Calibri"/>
        <family val="2"/>
      </rPr>
      <t>φ</t>
    </r>
    <r>
      <rPr>
        <vertAlign val="subscript"/>
        <sz val="10"/>
        <rFont val="Calibri"/>
        <family val="2"/>
      </rPr>
      <t>b</t>
    </r>
    <r>
      <rPr>
        <sz val="10"/>
        <rFont val="Arial"/>
        <family val="2"/>
      </rPr>
      <t xml:space="preserve"> indicado para todos los métodos semi-empiricos en todos los 
suelos</t>
    </r>
  </si>
  <si>
    <t>San Agustín, Huila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</si>
</sst>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6">
    <numFmt numFmtId="164" formatCode="0.000"/>
    <numFmt numFmtId="165" formatCode="0.0000"/>
    <numFmt numFmtId="166" formatCode="0."/>
    <numFmt numFmtId="167" formatCode="&quot;1.&quot;0&quot;.&quot;"/>
    <numFmt numFmtId="168" formatCode="&quot;1.1.&quot;0&quot;.&quot;"/>
    <numFmt numFmtId="169" formatCode="General\ &quot;MPa&quot;"/>
    <numFmt numFmtId="170" formatCode="0.00\ &quot;kN/m³&quot;"/>
    <numFmt numFmtId="171" formatCode="General&quot;º&quot;"/>
    <numFmt numFmtId="172" formatCode="General\ &quot;m&quot;"/>
    <numFmt numFmtId="173" formatCode="General\ &quot;m²&quot;"/>
    <numFmt numFmtId="174" formatCode="General\ &quot;kN/m&quot;"/>
    <numFmt numFmtId="175" formatCode="&quot;1.2.&quot;0&quot;.&quot;"/>
    <numFmt numFmtId="176" formatCode="0.00\ &quot;kN&quot;"/>
    <numFmt numFmtId="177" formatCode="0\ &quot;kN⋅m/m&quot;"/>
    <numFmt numFmtId="178" formatCode="0.00\ &quot;kN⋅m/m&quot;"/>
    <numFmt numFmtId="179" formatCode="0.00\ &quot;kN/m&quot;"/>
    <numFmt numFmtId="180" formatCode="General\ &quot;kN&quot;"/>
    <numFmt numFmtId="181" formatCode="&quot;1.4.&quot;0&quot;.&quot;"/>
    <numFmt numFmtId="182" formatCode="0.00\ &quot;m&quot;"/>
    <numFmt numFmtId="183" formatCode="0.0\ &quot;mm&quot;"/>
    <numFmt numFmtId="184" formatCode="0.000E+00\ &quot;MPa&quot;"/>
    <numFmt numFmtId="185" formatCode="&quot;&gt;=&quot;General"/>
    <numFmt numFmtId="186" formatCode="&quot;1.5.&quot;0&quot;.&quot;"/>
    <numFmt numFmtId="187" formatCode="&quot;1.7.&quot;0&quot;.&quot;"/>
    <numFmt numFmtId="188" formatCode="&quot;1.8.&quot;0&quot;.&quot;"/>
    <numFmt numFmtId="189" formatCode="&quot;1.8.1.&quot;0&quot;.&quot;"/>
    <numFmt numFmtId="190" formatCode="0.00&quot;º&quot;"/>
    <numFmt numFmtId="191" formatCode="0.00\ &quot;kN⋅m&quot;"/>
    <numFmt numFmtId="192" formatCode="&quot;1.10.&quot;0&quot;.&quot;"/>
    <numFmt numFmtId="193" formatCode="&quot;1.11.&quot;0&quot;.&quot;"/>
    <numFmt numFmtId="194" formatCode="&quot;1.11.1.&quot;0&quot;.&quot;"/>
    <numFmt numFmtId="195" formatCode="&quot;1.11.3.&quot;0&quot;.&quot;"/>
    <numFmt numFmtId="196" formatCode="0.00\ &quot;MPa&quot;"/>
    <numFmt numFmtId="197" formatCode="&quot;1.12.&quot;0&quot;.&quot;"/>
    <numFmt numFmtId="198" formatCode="0.0000\ &quot;m³&quot;"/>
    <numFmt numFmtId="199" formatCode="0.0\ &quot;mm²&quot;"/>
    <numFmt numFmtId="200" formatCode="0.00\ &quot;mm²/m&quot;"/>
    <numFmt numFmtId="201" formatCode="0.000\ &quot;m²&quot;"/>
    <numFmt numFmtId="202" formatCode="0.000\ &quot;m⁴&quot;"/>
    <numFmt numFmtId="203" formatCode="0.0\ &quot;kN/m²&quot;"/>
    <numFmt numFmtId="204" formatCode="&quot;1.12.5.&quot;0&quot;.&quot;"/>
    <numFmt numFmtId="205" formatCode="0.00\ &quot;mm&quot;"/>
    <numFmt numFmtId="206" formatCode="0.00000"/>
    <numFmt numFmtId="207" formatCode="0.0000\ &quot;m²&quot;"/>
    <numFmt numFmtId="208" formatCode="&quot;&gt;&quot;\ 0"/>
    <numFmt numFmtId="209" formatCode="0.00&quot; m&quot;"/>
  </numFmts>
  <fonts count="13" x14ac:knownFonts="1">
    <font>
      <sz val="11"/>
      <color theme="1"/>
      <name val="Calibri"/>
      <family val="2"/>
      <scheme val="minor"/>
    </font>
    <font>
      <sz val="10"/>
      <name val="Arial"/>
      <family val="2"/>
    </font>
    <font>
      <b/>
      <sz val="10"/>
      <name val="Arial"/>
      <family val="2"/>
    </font>
    <font>
      <sz val="10"/>
      <name val="Tahoma"/>
      <family val="2"/>
    </font>
    <font>
      <sz val="10"/>
      <color theme="1"/>
      <name val="Arial"/>
      <family val="2"/>
    </font>
    <font>
      <vertAlign val="subscript"/>
      <sz val="10"/>
      <name val="Arial"/>
      <family val="2"/>
    </font>
    <font>
      <sz val="10"/>
      <name val="Calibri"/>
      <family val="2"/>
    </font>
    <font>
      <vertAlign val="subscript"/>
      <sz val="10"/>
      <name val="Calibri"/>
      <family val="2"/>
    </font>
    <font>
      <sz val="10"/>
      <name val="Calibri"/>
      <family val="2"/>
      <scheme val="minor"/>
    </font>
    <font>
      <vertAlign val="subscript"/>
      <sz val="10"/>
      <name val="Calibri"/>
      <family val="2"/>
      <scheme val="minor"/>
    </font>
    <font>
      <vertAlign val="superscript"/>
      <sz val="10"/>
      <name val="Calibri"/>
      <family val="2"/>
    </font>
    <font>
      <b/>
      <vertAlign val="subscript"/>
      <sz val="10"/>
      <name val="Arial"/>
      <family val="2"/>
    </font>
    <font>
      <sz val="10"/>
      <color rgb="FF00B050"/>
      <name val="Arial"/>
      <family val="2"/>
    </font>
  </fonts>
  <fills count="3">
    <fill>
      <patternFill patternType="none"/>
    </fill>
    <fill>
      <patternFill patternType="gray125"/>
    </fill>
    <fill>
      <patternFill patternType="solid">
        <fgColor rgb="FFFFFF0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
    <xf numFmtId="0" fontId="0" fillId="0" borderId="0"/>
    <xf numFmtId="0" fontId="1" fillId="0" borderId="0"/>
    <xf numFmtId="0" fontId="1" fillId="0" borderId="0">
      <alignment vertical="center"/>
    </xf>
    <xf numFmtId="2" fontId="12" fillId="0" borderId="0" applyNumberFormat="0" applyFill="0" applyBorder="0" applyAlignment="0" applyProtection="0">
      <alignment horizontal="center" vertical="center"/>
    </xf>
  </cellStyleXfs>
  <cellXfs count="422">
    <xf numFmtId="0" fontId="0" fillId="0" borderId="0" xfId="0"/>
    <xf numFmtId="0" fontId="1" fillId="0" borderId="0" xfId="1" applyFont="1" applyAlignment="1" applyProtection="1">
      <alignment vertical="center" wrapText="1"/>
      <protection locked="0"/>
    </xf>
    <xf numFmtId="0" fontId="1" fillId="0" borderId="0" xfId="1" applyFont="1" applyFill="1" applyAlignment="1">
      <alignment vertical="center"/>
    </xf>
    <xf numFmtId="0" fontId="1" fillId="0" borderId="0" xfId="1" applyFont="1" applyFill="1" applyAlignment="1">
      <alignment horizontal="left" vertical="top"/>
    </xf>
    <xf numFmtId="166" fontId="2" fillId="0" borderId="0" xfId="1" applyNumberFormat="1" applyFont="1" applyFill="1" applyAlignment="1">
      <alignment horizontal="right" vertical="center"/>
    </xf>
    <xf numFmtId="0" fontId="2" fillId="0" borderId="0" xfId="1" applyFont="1" applyAlignment="1">
      <alignment horizontal="left" vertical="center"/>
    </xf>
    <xf numFmtId="0" fontId="1" fillId="0" borderId="0" xfId="1" applyFont="1" applyAlignment="1">
      <alignment vertical="center"/>
    </xf>
    <xf numFmtId="0" fontId="2" fillId="0" borderId="0" xfId="1" applyFont="1" applyAlignment="1">
      <alignment horizontal="center" vertical="center"/>
    </xf>
    <xf numFmtId="0" fontId="1" fillId="0" borderId="0" xfId="1" applyFont="1" applyAlignment="1">
      <alignment horizontal="left" vertical="center" indent="3"/>
    </xf>
    <xf numFmtId="167" fontId="2" fillId="0" borderId="0" xfId="1" applyNumberFormat="1" applyFont="1" applyFill="1" applyAlignment="1">
      <alignment horizontal="right" vertical="center"/>
    </xf>
    <xf numFmtId="0" fontId="1" fillId="0" borderId="0" xfId="1" applyFont="1" applyFill="1" applyAlignment="1">
      <alignment vertical="top" wrapText="1"/>
    </xf>
    <xf numFmtId="0" fontId="2" fillId="0" borderId="0" xfId="1" applyFont="1" applyFill="1" applyAlignment="1">
      <alignment horizontal="right" vertical="center"/>
    </xf>
    <xf numFmtId="168" fontId="2" fillId="0" borderId="0" xfId="1" applyNumberFormat="1" applyFont="1" applyFill="1" applyAlignment="1">
      <alignment horizontal="right" vertical="center"/>
    </xf>
    <xf numFmtId="0" fontId="1" fillId="0" borderId="0" xfId="1" applyFont="1" applyFill="1" applyAlignment="1">
      <alignment horizontal="right" indent="1"/>
    </xf>
    <xf numFmtId="0" fontId="1" fillId="0" borderId="0" xfId="1" applyFont="1" applyFill="1"/>
    <xf numFmtId="0" fontId="3" fillId="0" borderId="0" xfId="1" applyFont="1" applyFill="1"/>
    <xf numFmtId="0" fontId="3" fillId="0" borderId="0" xfId="1" applyFont="1"/>
    <xf numFmtId="0" fontId="1" fillId="0" borderId="0" xfId="2">
      <alignment vertical="center"/>
    </xf>
    <xf numFmtId="0" fontId="1" fillId="0" borderId="0" xfId="1" applyFont="1" applyFill="1" applyAlignment="1">
      <alignment vertical="top"/>
    </xf>
    <xf numFmtId="0" fontId="3" fillId="0" borderId="0" xfId="1" applyFont="1" applyAlignment="1">
      <alignment wrapText="1"/>
    </xf>
    <xf numFmtId="172" fontId="1" fillId="0" borderId="0" xfId="1" applyNumberFormat="1" applyFont="1" applyFill="1" applyAlignment="1"/>
    <xf numFmtId="169" fontId="1" fillId="0" borderId="0" xfId="1" applyNumberFormat="1" applyFont="1" applyFill="1" applyAlignment="1">
      <alignment horizontal="left"/>
    </xf>
    <xf numFmtId="0" fontId="1" fillId="0" borderId="0" xfId="1" applyFont="1" applyFill="1" applyAlignment="1">
      <alignment horizontal="left" vertical="top" wrapText="1"/>
    </xf>
    <xf numFmtId="0" fontId="1" fillId="0" borderId="0" xfId="1" applyNumberFormat="1" applyFont="1" applyFill="1" applyAlignment="1">
      <alignment horizontal="left" vertical="top"/>
    </xf>
    <xf numFmtId="172" fontId="1" fillId="0" borderId="0" xfId="1" applyNumberFormat="1" applyFont="1" applyFill="1" applyAlignment="1">
      <alignment horizontal="left" vertical="top"/>
    </xf>
    <xf numFmtId="175" fontId="2" fillId="0" borderId="0" xfId="1" applyNumberFormat="1" applyFont="1" applyFill="1" applyAlignment="1">
      <alignment horizontal="right" vertical="center"/>
    </xf>
    <xf numFmtId="179" fontId="1" fillId="0" borderId="0" xfId="1" applyNumberFormat="1" applyFont="1" applyFill="1" applyAlignment="1">
      <alignment horizontal="left" vertical="top"/>
    </xf>
    <xf numFmtId="0" fontId="1" fillId="0" borderId="0" xfId="1" applyFont="1" applyFill="1" applyAlignment="1"/>
    <xf numFmtId="0" fontId="1" fillId="0" borderId="0" xfId="1" applyFont="1" applyFill="1" applyAlignment="1">
      <alignment wrapText="1"/>
    </xf>
    <xf numFmtId="180" fontId="1" fillId="0" borderId="0" xfId="1" applyNumberFormat="1" applyFont="1" applyFill="1" applyAlignment="1">
      <alignment horizontal="left" vertical="top"/>
    </xf>
    <xf numFmtId="181" fontId="2" fillId="0" borderId="0" xfId="1" applyNumberFormat="1" applyFont="1" applyFill="1" applyAlignment="1">
      <alignment horizontal="right" vertical="center"/>
    </xf>
    <xf numFmtId="0" fontId="1" fillId="0" borderId="0" xfId="2" applyFont="1">
      <alignment vertical="center"/>
    </xf>
    <xf numFmtId="0" fontId="1" fillId="0" borderId="0" xfId="1" applyFont="1" applyAlignment="1">
      <alignment vertical="center" wrapText="1"/>
    </xf>
    <xf numFmtId="0" fontId="1" fillId="0" borderId="0" xfId="1" applyFont="1" applyAlignment="1">
      <alignment horizontal="left" vertical="center"/>
    </xf>
    <xf numFmtId="175" fontId="1" fillId="0" borderId="0" xfId="1" applyNumberFormat="1" applyFont="1" applyFill="1" applyAlignment="1">
      <alignment horizontal="right" vertical="center"/>
    </xf>
    <xf numFmtId="0" fontId="1" fillId="0" borderId="0" xfId="1" applyFont="1" applyFill="1" applyAlignment="1">
      <alignment horizontal="right" vertical="center"/>
    </xf>
    <xf numFmtId="0" fontId="1" fillId="0" borderId="0" xfId="1" applyFont="1" applyFill="1" applyAlignment="1">
      <alignment horizontal="right"/>
    </xf>
    <xf numFmtId="0" fontId="1" fillId="0" borderId="0" xfId="1" applyFont="1" applyAlignment="1" applyProtection="1">
      <alignment vertical="center"/>
      <protection locked="0"/>
    </xf>
    <xf numFmtId="185" fontId="1" fillId="0" borderId="0" xfId="1" applyNumberFormat="1" applyFont="1" applyAlignment="1" applyProtection="1">
      <alignment vertical="center"/>
      <protection locked="0"/>
    </xf>
    <xf numFmtId="186" fontId="2" fillId="0" borderId="0" xfId="1" applyNumberFormat="1" applyFont="1" applyFill="1" applyAlignment="1">
      <alignment horizontal="right" vertical="center"/>
    </xf>
    <xf numFmtId="187" fontId="2" fillId="0" borderId="0" xfId="1" applyNumberFormat="1" applyFont="1" applyFill="1" applyAlignment="1">
      <alignment horizontal="right" vertical="center"/>
    </xf>
    <xf numFmtId="188" fontId="2" fillId="0" borderId="0" xfId="1" applyNumberFormat="1" applyFont="1" applyFill="1" applyAlignment="1">
      <alignment horizontal="right" vertical="center"/>
    </xf>
    <xf numFmtId="189" fontId="2" fillId="0" borderId="0" xfId="1" applyNumberFormat="1" applyFont="1" applyFill="1" applyAlignment="1">
      <alignment horizontal="right" vertical="center"/>
    </xf>
    <xf numFmtId="0" fontId="6" fillId="0" borderId="0" xfId="1" applyFont="1" applyFill="1" applyAlignment="1"/>
    <xf numFmtId="164" fontId="1" fillId="0" borderId="0" xfId="1" applyNumberFormat="1" applyFont="1" applyAlignment="1" applyProtection="1">
      <alignment vertical="center"/>
      <protection locked="0"/>
    </xf>
    <xf numFmtId="172" fontId="1" fillId="0" borderId="0" xfId="1" applyNumberFormat="1" applyFont="1" applyAlignment="1" applyProtection="1">
      <alignment horizontal="left" vertical="center"/>
      <protection locked="0"/>
    </xf>
    <xf numFmtId="2" fontId="1" fillId="0" borderId="0" xfId="1" applyNumberFormat="1" applyFont="1" applyAlignment="1" applyProtection="1">
      <alignment horizontal="left" vertical="center"/>
      <protection locked="0"/>
    </xf>
    <xf numFmtId="182" fontId="1" fillId="0" borderId="0" xfId="1" applyNumberFormat="1" applyFont="1" applyAlignment="1" applyProtection="1">
      <alignment vertical="center"/>
      <protection locked="0"/>
    </xf>
    <xf numFmtId="176" fontId="1" fillId="0" borderId="0" xfId="1" applyNumberFormat="1" applyFont="1" applyAlignment="1" applyProtection="1">
      <alignment vertical="center"/>
      <protection locked="0"/>
    </xf>
    <xf numFmtId="0" fontId="1" fillId="0" borderId="0" xfId="1" applyFont="1" applyAlignment="1" applyProtection="1">
      <alignment horizontal="left" vertical="center" wrapText="1"/>
      <protection locked="0"/>
    </xf>
    <xf numFmtId="192" fontId="2" fillId="0" borderId="0" xfId="1" applyNumberFormat="1" applyFont="1" applyFill="1" applyAlignment="1">
      <alignment horizontal="right" vertical="center"/>
    </xf>
    <xf numFmtId="191" fontId="1" fillId="0" borderId="0" xfId="1" applyNumberFormat="1" applyFont="1" applyFill="1" applyAlignment="1">
      <alignment vertical="top"/>
    </xf>
    <xf numFmtId="182" fontId="1" fillId="0" borderId="0" xfId="1" applyNumberFormat="1" applyFont="1" applyFill="1" applyAlignment="1">
      <alignment vertical="top"/>
    </xf>
    <xf numFmtId="179" fontId="1" fillId="0" borderId="0" xfId="1" applyNumberFormat="1" applyFont="1" applyAlignment="1" applyProtection="1">
      <alignment horizontal="left" vertical="center"/>
      <protection locked="0"/>
    </xf>
    <xf numFmtId="178" fontId="1" fillId="0" borderId="0" xfId="1" applyNumberFormat="1" applyFont="1" applyFill="1" applyAlignment="1">
      <alignment horizontal="left" vertical="top" wrapText="1"/>
    </xf>
    <xf numFmtId="0" fontId="1" fillId="0" borderId="0" xfId="1" applyNumberFormat="1" applyFont="1" applyAlignment="1" applyProtection="1">
      <alignment horizontal="left" vertical="center"/>
      <protection locked="0"/>
    </xf>
    <xf numFmtId="193" fontId="2" fillId="0" borderId="0" xfId="1" applyNumberFormat="1" applyFont="1" applyFill="1" applyAlignment="1">
      <alignment horizontal="right" vertical="center"/>
    </xf>
    <xf numFmtId="194" fontId="2" fillId="0" borderId="0" xfId="1" applyNumberFormat="1" applyFont="1" applyFill="1" applyAlignment="1">
      <alignment horizontal="right" vertical="center"/>
    </xf>
    <xf numFmtId="195" fontId="2" fillId="0" borderId="0" xfId="1" applyNumberFormat="1" applyFont="1" applyFill="1" applyAlignment="1">
      <alignment horizontal="right" vertical="center"/>
    </xf>
    <xf numFmtId="0" fontId="1" fillId="0" borderId="0" xfId="1" applyFont="1" applyFill="1" applyAlignment="1">
      <alignment horizontal="left"/>
    </xf>
    <xf numFmtId="196" fontId="1" fillId="0" borderId="0" xfId="1" applyNumberFormat="1" applyFont="1" applyAlignment="1" applyProtection="1">
      <alignment vertical="center"/>
      <protection locked="0"/>
    </xf>
    <xf numFmtId="0" fontId="6" fillId="0" borderId="0" xfId="1" applyFont="1" applyFill="1" applyAlignment="1">
      <alignment vertical="top"/>
    </xf>
    <xf numFmtId="0" fontId="2" fillId="0" borderId="0" xfId="1" applyFont="1" applyFill="1" applyAlignment="1">
      <alignment horizontal="right"/>
    </xf>
    <xf numFmtId="0" fontId="6" fillId="0" borderId="0" xfId="1" quotePrefix="1" applyFont="1" applyFill="1" applyAlignment="1"/>
    <xf numFmtId="2" fontId="1" fillId="0" borderId="0" xfId="1" applyNumberFormat="1" applyFont="1" applyAlignment="1" applyProtection="1">
      <alignment vertical="center"/>
      <protection locked="0"/>
    </xf>
    <xf numFmtId="0" fontId="1" fillId="0" borderId="0" xfId="1" applyFont="1" applyFill="1" applyAlignment="1">
      <alignment horizontal="left" wrapText="1"/>
    </xf>
    <xf numFmtId="0" fontId="6" fillId="0" borderId="0" xfId="1" applyFont="1" applyAlignment="1" applyProtection="1">
      <alignment vertical="center" wrapText="1"/>
      <protection locked="0"/>
    </xf>
    <xf numFmtId="2" fontId="1" fillId="0" borderId="0" xfId="1" applyNumberFormat="1" applyFont="1" applyAlignment="1" applyProtection="1">
      <alignment vertical="center" wrapText="1"/>
      <protection locked="0"/>
    </xf>
    <xf numFmtId="197" fontId="2" fillId="0" borderId="0" xfId="1" applyNumberFormat="1" applyFont="1" applyFill="1" applyAlignment="1">
      <alignment horizontal="right" vertical="center"/>
    </xf>
    <xf numFmtId="178" fontId="1" fillId="0" borderId="0" xfId="1" applyNumberFormat="1" applyFont="1" applyFill="1" applyAlignment="1">
      <alignment vertical="top" wrapText="1"/>
    </xf>
    <xf numFmtId="182" fontId="1" fillId="0" borderId="4" xfId="1" applyNumberFormat="1" applyFont="1" applyBorder="1" applyAlignment="1" applyProtection="1">
      <alignment vertical="center"/>
      <protection locked="0"/>
    </xf>
    <xf numFmtId="200" fontId="1" fillId="0" borderId="0" xfId="1" applyNumberFormat="1" applyFont="1" applyFill="1" applyAlignment="1">
      <alignment vertical="top" wrapText="1"/>
    </xf>
    <xf numFmtId="200" fontId="1" fillId="0" borderId="0" xfId="1" applyNumberFormat="1" applyFont="1" applyFill="1" applyAlignment="1">
      <alignment vertical="top"/>
    </xf>
    <xf numFmtId="0" fontId="6" fillId="0" borderId="4" xfId="1" applyFont="1" applyFill="1" applyBorder="1" applyAlignment="1"/>
    <xf numFmtId="0" fontId="6" fillId="0" borderId="0" xfId="1" applyFont="1" applyFill="1" applyBorder="1" applyAlignment="1"/>
    <xf numFmtId="0" fontId="1" fillId="0" borderId="4" xfId="1" applyFont="1" applyFill="1" applyBorder="1" applyAlignment="1">
      <alignment vertical="top"/>
    </xf>
    <xf numFmtId="202" fontId="1" fillId="0" borderId="0" xfId="1" applyNumberFormat="1" applyFont="1" applyAlignment="1" applyProtection="1">
      <alignment vertical="center"/>
      <protection locked="0"/>
    </xf>
    <xf numFmtId="164" fontId="1" fillId="0" borderId="0" xfId="1" applyNumberFormat="1" applyFont="1" applyFill="1" applyAlignment="1">
      <alignment vertical="top" wrapText="1"/>
    </xf>
    <xf numFmtId="204" fontId="2" fillId="0" borderId="0" xfId="1" applyNumberFormat="1" applyFont="1" applyFill="1" applyAlignment="1">
      <alignment horizontal="right" vertical="center"/>
    </xf>
    <xf numFmtId="179" fontId="1" fillId="0" borderId="0" xfId="1" applyNumberFormat="1" applyFont="1" applyFill="1" applyAlignment="1"/>
    <xf numFmtId="182" fontId="1" fillId="0" borderId="0" xfId="1" applyNumberFormat="1" applyFont="1" applyFill="1" applyAlignment="1"/>
    <xf numFmtId="196" fontId="1" fillId="0" borderId="0" xfId="1" applyNumberFormat="1" applyFont="1" applyFill="1" applyAlignment="1"/>
    <xf numFmtId="0" fontId="3" fillId="0" borderId="0" xfId="1" applyFont="1" applyAlignment="1"/>
    <xf numFmtId="1" fontId="1" fillId="0" borderId="0" xfId="1" applyNumberFormat="1" applyFont="1" applyFill="1" applyAlignment="1">
      <alignment vertical="top"/>
    </xf>
    <xf numFmtId="0" fontId="1" fillId="0" borderId="0" xfId="1" quotePrefix="1" applyFont="1" applyFill="1" applyAlignment="1"/>
    <xf numFmtId="0" fontId="0" fillId="0" borderId="0" xfId="0" applyAlignment="1">
      <alignment horizontal="center"/>
    </xf>
    <xf numFmtId="0" fontId="0" fillId="0" borderId="0" xfId="0" applyBorder="1" applyAlignment="1">
      <alignment horizontal="center"/>
    </xf>
    <xf numFmtId="0" fontId="0" fillId="0" borderId="9" xfId="0" applyBorder="1"/>
    <xf numFmtId="0" fontId="0" fillId="0" borderId="0" xfId="0" applyBorder="1"/>
    <xf numFmtId="0" fontId="0" fillId="0" borderId="10" xfId="0" applyBorder="1"/>
    <xf numFmtId="208" fontId="0" fillId="0" borderId="0" xfId="0" applyNumberFormat="1"/>
    <xf numFmtId="0" fontId="0" fillId="0" borderId="5" xfId="0" applyBorder="1"/>
    <xf numFmtId="0" fontId="0" fillId="0" borderId="6" xfId="0" applyBorder="1"/>
    <xf numFmtId="0" fontId="0" fillId="0" borderId="11" xfId="0" applyBorder="1"/>
    <xf numFmtId="0" fontId="0" fillId="0" borderId="0" xfId="0" applyFill="1" applyBorder="1"/>
    <xf numFmtId="0" fontId="1" fillId="0" borderId="7" xfId="1" applyFont="1" applyFill="1" applyBorder="1"/>
    <xf numFmtId="0" fontId="1" fillId="0" borderId="4" xfId="1" applyFont="1" applyFill="1" applyBorder="1"/>
    <xf numFmtId="0" fontId="3" fillId="0" borderId="4" xfId="1" applyFont="1" applyFill="1" applyBorder="1"/>
    <xf numFmtId="0" fontId="1" fillId="0" borderId="9" xfId="1" applyFont="1" applyFill="1" applyBorder="1"/>
    <xf numFmtId="0" fontId="1" fillId="0" borderId="0" xfId="1" applyFont="1" applyFill="1" applyBorder="1"/>
    <xf numFmtId="0" fontId="3" fillId="0" borderId="0" xfId="1" applyFont="1" applyFill="1" applyBorder="1"/>
    <xf numFmtId="0" fontId="1" fillId="0" borderId="5" xfId="1" applyFont="1" applyFill="1" applyBorder="1"/>
    <xf numFmtId="0" fontId="1" fillId="0" borderId="6" xfId="1" applyFont="1" applyFill="1" applyBorder="1"/>
    <xf numFmtId="0" fontId="3" fillId="0" borderId="6" xfId="1" applyFont="1" applyFill="1" applyBorder="1"/>
    <xf numFmtId="0" fontId="4" fillId="0" borderId="7" xfId="1" applyFont="1" applyFill="1" applyBorder="1" applyAlignment="1">
      <alignment vertical="top"/>
    </xf>
    <xf numFmtId="0" fontId="1" fillId="0" borderId="8" xfId="1" applyFont="1" applyFill="1" applyBorder="1" applyAlignment="1">
      <alignment vertical="top"/>
    </xf>
    <xf numFmtId="0" fontId="1" fillId="0" borderId="10" xfId="1" applyFont="1" applyFill="1" applyBorder="1"/>
    <xf numFmtId="172" fontId="1" fillId="0" borderId="6" xfId="1" applyNumberFormat="1" applyFont="1" applyFill="1" applyBorder="1" applyAlignment="1"/>
    <xf numFmtId="0" fontId="1" fillId="0" borderId="11" xfId="1" applyFont="1" applyFill="1" applyBorder="1"/>
    <xf numFmtId="0" fontId="1" fillId="0" borderId="4" xfId="1" applyFont="1" applyBorder="1" applyAlignment="1" applyProtection="1">
      <alignment vertical="center" wrapText="1"/>
      <protection locked="0"/>
    </xf>
    <xf numFmtId="172" fontId="1" fillId="0" borderId="4" xfId="1" applyNumberFormat="1" applyFont="1" applyFill="1" applyBorder="1" applyAlignment="1"/>
    <xf numFmtId="0" fontId="1" fillId="0" borderId="8" xfId="1" applyFont="1" applyFill="1" applyBorder="1"/>
    <xf numFmtId="172" fontId="1" fillId="0" borderId="0" xfId="1" applyNumberFormat="1" applyFont="1" applyFill="1" applyBorder="1" applyAlignment="1"/>
    <xf numFmtId="0" fontId="6" fillId="0" borderId="9" xfId="1" applyFont="1" applyFill="1" applyBorder="1"/>
    <xf numFmtId="169" fontId="1" fillId="0" borderId="0" xfId="1" applyNumberFormat="1" applyFont="1" applyFill="1" applyBorder="1" applyAlignment="1">
      <alignment horizontal="left"/>
    </xf>
    <xf numFmtId="0" fontId="3" fillId="0" borderId="10" xfId="1" applyFont="1" applyBorder="1"/>
    <xf numFmtId="0" fontId="1" fillId="0" borderId="0" xfId="1" applyFont="1" applyBorder="1" applyAlignment="1" applyProtection="1">
      <alignment vertical="center" wrapText="1"/>
      <protection locked="0"/>
    </xf>
    <xf numFmtId="0" fontId="1" fillId="0" borderId="0" xfId="1" applyFont="1" applyFill="1" applyBorder="1" applyAlignment="1">
      <alignment horizontal="left" vertical="top" wrapText="1"/>
    </xf>
    <xf numFmtId="0" fontId="1" fillId="0" borderId="10" xfId="1" applyFont="1" applyFill="1" applyBorder="1" applyAlignment="1">
      <alignment horizontal="left" vertical="top" wrapText="1"/>
    </xf>
    <xf numFmtId="0" fontId="1" fillId="0" borderId="6" xfId="1" applyFont="1" applyBorder="1" applyAlignment="1" applyProtection="1">
      <alignment vertical="center" wrapText="1"/>
      <protection locked="0"/>
    </xf>
    <xf numFmtId="169" fontId="1" fillId="0" borderId="6" xfId="1" applyNumberFormat="1" applyFont="1" applyFill="1" applyBorder="1" applyAlignment="1">
      <alignment horizontal="left"/>
    </xf>
    <xf numFmtId="0" fontId="1" fillId="0" borderId="4" xfId="1" applyFont="1" applyFill="1" applyBorder="1" applyAlignment="1">
      <alignment vertical="top" wrapText="1"/>
    </xf>
    <xf numFmtId="0" fontId="1" fillId="0" borderId="8" xfId="1" applyFont="1" applyFill="1" applyBorder="1" applyAlignment="1">
      <alignment vertical="top" wrapText="1"/>
    </xf>
    <xf numFmtId="0" fontId="1" fillId="0" borderId="0" xfId="1" applyNumberFormat="1" applyFont="1" applyFill="1" applyBorder="1" applyAlignment="1">
      <alignment horizontal="left" vertical="top"/>
    </xf>
    <xf numFmtId="0" fontId="1" fillId="0" borderId="0" xfId="1" applyFont="1" applyFill="1" applyBorder="1" applyAlignment="1">
      <alignment vertical="top"/>
    </xf>
    <xf numFmtId="0" fontId="1" fillId="0" borderId="10" xfId="1" applyFont="1" applyFill="1" applyBorder="1" applyAlignment="1">
      <alignment vertical="top" wrapText="1"/>
    </xf>
    <xf numFmtId="0" fontId="1" fillId="0" borderId="6" xfId="1" applyFont="1" applyFill="1" applyBorder="1" applyAlignment="1">
      <alignment vertical="top"/>
    </xf>
    <xf numFmtId="0" fontId="1" fillId="0" borderId="11" xfId="1" applyFont="1" applyFill="1" applyBorder="1" applyAlignment="1">
      <alignment vertical="top" wrapText="1"/>
    </xf>
    <xf numFmtId="0" fontId="1" fillId="0" borderId="8" xfId="1" applyNumberFormat="1" applyFont="1" applyFill="1" applyBorder="1" applyAlignment="1">
      <alignment horizontal="left" vertical="top"/>
    </xf>
    <xf numFmtId="172" fontId="1" fillId="0" borderId="10" xfId="1" applyNumberFormat="1" applyFont="1" applyFill="1" applyBorder="1" applyAlignment="1">
      <alignment horizontal="left" vertical="top"/>
    </xf>
    <xf numFmtId="0" fontId="1" fillId="0" borderId="10" xfId="1" applyNumberFormat="1" applyFont="1" applyFill="1" applyBorder="1" applyAlignment="1">
      <alignment horizontal="left" vertical="top"/>
    </xf>
    <xf numFmtId="0" fontId="1" fillId="0" borderId="2" xfId="1" applyFont="1" applyFill="1" applyBorder="1"/>
    <xf numFmtId="0" fontId="1" fillId="0" borderId="3" xfId="1" applyFont="1" applyFill="1" applyBorder="1"/>
    <xf numFmtId="0" fontId="3" fillId="0" borderId="3" xfId="1" applyFont="1" applyFill="1" applyBorder="1"/>
    <xf numFmtId="0" fontId="1" fillId="0" borderId="12" xfId="1" applyFont="1" applyFill="1" applyBorder="1" applyAlignment="1">
      <alignment vertical="top"/>
    </xf>
    <xf numFmtId="173" fontId="1" fillId="0" borderId="4" xfId="1" applyNumberFormat="1" applyFont="1" applyFill="1" applyBorder="1" applyAlignment="1">
      <alignment horizontal="left" vertical="top"/>
    </xf>
    <xf numFmtId="0" fontId="1" fillId="0" borderId="0" xfId="1" applyFont="1" applyFill="1" applyBorder="1" applyAlignment="1">
      <alignment vertical="top" wrapText="1"/>
    </xf>
    <xf numFmtId="172" fontId="1" fillId="0" borderId="0" xfId="1" applyNumberFormat="1" applyFont="1" applyFill="1" applyBorder="1" applyAlignment="1">
      <alignment horizontal="left" vertical="top"/>
    </xf>
    <xf numFmtId="173" fontId="1" fillId="0" borderId="0" xfId="1" applyNumberFormat="1" applyFont="1" applyFill="1" applyBorder="1" applyAlignment="1">
      <alignment horizontal="left" vertical="top"/>
    </xf>
    <xf numFmtId="0" fontId="1" fillId="0" borderId="6" xfId="1" applyFont="1" applyFill="1" applyBorder="1" applyAlignment="1">
      <alignment vertical="top" wrapText="1"/>
    </xf>
    <xf numFmtId="172" fontId="1" fillId="0" borderId="8" xfId="1" applyNumberFormat="1" applyFont="1" applyFill="1" applyBorder="1" applyAlignment="1">
      <alignment horizontal="left" vertical="top"/>
    </xf>
    <xf numFmtId="179" fontId="1" fillId="0" borderId="10" xfId="1" applyNumberFormat="1" applyFont="1" applyFill="1" applyBorder="1" applyAlignment="1">
      <alignment horizontal="left" vertical="top"/>
    </xf>
    <xf numFmtId="0" fontId="1" fillId="0" borderId="7" xfId="1" applyFont="1" applyFill="1" applyBorder="1" applyAlignment="1"/>
    <xf numFmtId="0" fontId="1" fillId="0" borderId="5" xfId="1" applyFont="1" applyFill="1" applyBorder="1" applyAlignment="1"/>
    <xf numFmtId="180" fontId="1" fillId="0" borderId="4" xfId="1" applyNumberFormat="1" applyFont="1" applyFill="1" applyBorder="1" applyAlignment="1">
      <alignment horizontal="left" vertical="top"/>
    </xf>
    <xf numFmtId="179" fontId="1" fillId="0" borderId="8" xfId="1" applyNumberFormat="1" applyFont="1" applyFill="1" applyBorder="1" applyAlignment="1">
      <alignment horizontal="left" vertical="top"/>
    </xf>
    <xf numFmtId="180" fontId="1" fillId="0" borderId="0" xfId="1" applyNumberFormat="1" applyFont="1" applyFill="1" applyBorder="1" applyAlignment="1">
      <alignment horizontal="left" vertical="top"/>
    </xf>
    <xf numFmtId="179" fontId="1" fillId="0" borderId="4" xfId="1" applyNumberFormat="1" applyFont="1" applyFill="1" applyBorder="1" applyAlignment="1">
      <alignment horizontal="left" vertical="top"/>
    </xf>
    <xf numFmtId="179" fontId="1" fillId="0" borderId="0" xfId="1" applyNumberFormat="1" applyFont="1" applyFill="1" applyBorder="1" applyAlignment="1">
      <alignment horizontal="left" vertical="top"/>
    </xf>
    <xf numFmtId="0" fontId="1" fillId="0" borderId="7" xfId="2" applyFont="1" applyBorder="1">
      <alignment vertical="center"/>
    </xf>
    <xf numFmtId="0" fontId="1" fillId="0" borderId="4" xfId="2" applyFont="1" applyBorder="1">
      <alignment vertical="center"/>
    </xf>
    <xf numFmtId="0" fontId="1" fillId="0" borderId="8" xfId="2" applyFont="1" applyBorder="1">
      <alignment vertical="center"/>
    </xf>
    <xf numFmtId="0" fontId="1" fillId="0" borderId="0" xfId="2" applyBorder="1">
      <alignment vertical="center"/>
    </xf>
    <xf numFmtId="0" fontId="1" fillId="0" borderId="10" xfId="2" applyBorder="1">
      <alignment vertical="center"/>
    </xf>
    <xf numFmtId="0" fontId="1" fillId="0" borderId="9" xfId="2" applyFont="1" applyBorder="1">
      <alignment vertical="center"/>
    </xf>
    <xf numFmtId="0" fontId="1" fillId="0" borderId="0" xfId="2" applyFont="1" applyBorder="1">
      <alignment vertical="center"/>
    </xf>
    <xf numFmtId="2" fontId="1" fillId="0" borderId="0" xfId="2" applyNumberFormat="1" applyBorder="1">
      <alignment vertical="center"/>
    </xf>
    <xf numFmtId="0" fontId="1" fillId="0" borderId="5" xfId="2" applyFont="1" applyBorder="1">
      <alignment vertical="center"/>
    </xf>
    <xf numFmtId="0" fontId="1" fillId="0" borderId="6" xfId="2" applyFont="1" applyBorder="1">
      <alignment vertical="center"/>
    </xf>
    <xf numFmtId="0" fontId="1" fillId="0" borderId="6" xfId="2" applyBorder="1">
      <alignment vertical="center"/>
    </xf>
    <xf numFmtId="0" fontId="1" fillId="0" borderId="11" xfId="2" applyFont="1" applyBorder="1">
      <alignment vertical="center"/>
    </xf>
    <xf numFmtId="0" fontId="1" fillId="0" borderId="4" xfId="2" applyBorder="1">
      <alignment vertical="center"/>
    </xf>
    <xf numFmtId="182" fontId="1" fillId="0" borderId="8" xfId="1" applyNumberFormat="1" applyFont="1" applyFill="1" applyBorder="1" applyAlignment="1">
      <alignment horizontal="left" vertical="top"/>
    </xf>
    <xf numFmtId="182" fontId="1" fillId="0" borderId="11" xfId="1" applyNumberFormat="1" applyFont="1" applyFill="1" applyBorder="1" applyAlignment="1">
      <alignment horizontal="left" vertical="top"/>
    </xf>
    <xf numFmtId="0" fontId="1" fillId="0" borderId="3" xfId="1" applyFont="1" applyFill="1" applyBorder="1" applyAlignment="1">
      <alignment vertical="top" wrapText="1"/>
    </xf>
    <xf numFmtId="0" fontId="1" fillId="0" borderId="4" xfId="1" applyFont="1" applyFill="1" applyBorder="1" applyAlignment="1"/>
    <xf numFmtId="0" fontId="1" fillId="0" borderId="8" xfId="1" applyFont="1" applyFill="1" applyBorder="1" applyAlignment="1"/>
    <xf numFmtId="0" fontId="6" fillId="0" borderId="9" xfId="1" applyFont="1" applyBorder="1" applyAlignment="1">
      <alignment horizontal="left" vertical="center"/>
    </xf>
    <xf numFmtId="0" fontId="1" fillId="0" borderId="0" xfId="1" applyFont="1" applyFill="1" applyBorder="1" applyAlignment="1"/>
    <xf numFmtId="0" fontId="1" fillId="0" borderId="10" xfId="1" applyFont="1" applyFill="1" applyBorder="1" applyAlignment="1"/>
    <xf numFmtId="0" fontId="6" fillId="0" borderId="5" xfId="1" applyFont="1" applyBorder="1" applyAlignment="1">
      <alignment horizontal="left" vertical="center"/>
    </xf>
    <xf numFmtId="0" fontId="1" fillId="0" borderId="6" xfId="1" applyFont="1" applyFill="1" applyBorder="1" applyAlignment="1"/>
    <xf numFmtId="183" fontId="1" fillId="0" borderId="6" xfId="1" applyNumberFormat="1" applyFont="1" applyFill="1" applyBorder="1" applyAlignment="1">
      <alignment vertical="top"/>
    </xf>
    <xf numFmtId="0" fontId="1" fillId="0" borderId="11" xfId="1" applyFont="1" applyFill="1" applyBorder="1" applyAlignment="1"/>
    <xf numFmtId="0" fontId="1" fillId="0" borderId="2" xfId="1" applyFont="1" applyFill="1" applyBorder="1" applyAlignment="1"/>
    <xf numFmtId="0" fontId="1" fillId="0" borderId="3" xfId="1" applyFont="1" applyFill="1" applyBorder="1" applyAlignment="1"/>
    <xf numFmtId="0" fontId="1" fillId="0" borderId="12" xfId="1" applyFont="1" applyFill="1" applyBorder="1" applyAlignment="1"/>
    <xf numFmtId="0" fontId="1" fillId="0" borderId="9" xfId="1" applyFont="1" applyBorder="1" applyAlignment="1">
      <alignment horizontal="left" vertical="center"/>
    </xf>
    <xf numFmtId="2" fontId="1" fillId="0" borderId="0" xfId="1" applyNumberFormat="1" applyFont="1" applyFill="1" applyBorder="1" applyAlignment="1">
      <alignment vertical="top" wrapText="1"/>
    </xf>
    <xf numFmtId="182" fontId="1" fillId="0" borderId="0" xfId="1" applyNumberFormat="1" applyFont="1" applyFill="1" applyBorder="1" applyAlignment="1">
      <alignment vertical="top" wrapText="1"/>
    </xf>
    <xf numFmtId="172" fontId="1" fillId="0" borderId="0" xfId="1" applyNumberFormat="1" applyFont="1" applyFill="1" applyBorder="1" applyAlignment="1">
      <alignment vertical="top" wrapText="1"/>
    </xf>
    <xf numFmtId="0" fontId="1" fillId="0" borderId="5" xfId="1" applyFont="1" applyBorder="1" applyAlignment="1">
      <alignment horizontal="left" vertical="center"/>
    </xf>
    <xf numFmtId="2" fontId="1" fillId="0" borderId="6" xfId="1" applyNumberFormat="1" applyFont="1" applyFill="1" applyBorder="1" applyAlignment="1">
      <alignment vertical="top" wrapText="1"/>
    </xf>
    <xf numFmtId="2" fontId="1" fillId="0" borderId="11" xfId="1" applyNumberFormat="1" applyFont="1" applyFill="1" applyBorder="1" applyAlignment="1">
      <alignment vertical="top" wrapText="1"/>
    </xf>
    <xf numFmtId="0" fontId="1" fillId="0" borderId="2" xfId="1" applyFont="1" applyBorder="1" applyAlignment="1">
      <alignment horizontal="left" vertical="center"/>
    </xf>
    <xf numFmtId="0" fontId="1" fillId="0" borderId="12" xfId="1" applyFont="1" applyFill="1" applyBorder="1" applyAlignment="1">
      <alignment vertical="top" wrapText="1"/>
    </xf>
    <xf numFmtId="164" fontId="1" fillId="0" borderId="4" xfId="1" applyNumberFormat="1" applyFont="1" applyFill="1" applyBorder="1" applyAlignment="1"/>
    <xf numFmtId="0" fontId="1" fillId="0" borderId="8" xfId="1" applyNumberFormat="1" applyFont="1" applyFill="1" applyBorder="1" applyAlignment="1"/>
    <xf numFmtId="0" fontId="1" fillId="0" borderId="9" xfId="1" applyFont="1" applyFill="1" applyBorder="1" applyAlignment="1"/>
    <xf numFmtId="0" fontId="1" fillId="0" borderId="3" xfId="1" applyFont="1" applyBorder="1" applyAlignment="1" applyProtection="1">
      <alignment vertical="center"/>
      <protection locked="0"/>
    </xf>
    <xf numFmtId="0" fontId="1" fillId="0" borderId="12" xfId="1" applyFont="1" applyBorder="1" applyAlignment="1" applyProtection="1">
      <alignment vertical="center"/>
      <protection locked="0"/>
    </xf>
    <xf numFmtId="190" fontId="1" fillId="0" borderId="12" xfId="1" applyNumberFormat="1" applyFont="1" applyBorder="1" applyAlignment="1" applyProtection="1">
      <alignment vertical="center"/>
      <protection locked="0"/>
    </xf>
    <xf numFmtId="0" fontId="6" fillId="0" borderId="2" xfId="1" applyFont="1" applyFill="1" applyBorder="1" applyAlignment="1"/>
    <xf numFmtId="0" fontId="1" fillId="0" borderId="4" xfId="1" applyFont="1" applyBorder="1" applyAlignment="1" applyProtection="1">
      <alignment vertical="center"/>
      <protection locked="0"/>
    </xf>
    <xf numFmtId="0" fontId="6" fillId="0" borderId="9" xfId="1" applyFont="1" applyFill="1" applyBorder="1" applyAlignment="1"/>
    <xf numFmtId="0" fontId="1" fillId="0" borderId="0" xfId="1" applyFont="1" applyBorder="1" applyAlignment="1" applyProtection="1">
      <alignment vertical="center"/>
      <protection locked="0"/>
    </xf>
    <xf numFmtId="0" fontId="6" fillId="0" borderId="5" xfId="1" applyFont="1" applyFill="1" applyBorder="1" applyAlignment="1"/>
    <xf numFmtId="0" fontId="1" fillId="0" borderId="6" xfId="1" applyFont="1" applyBorder="1" applyAlignment="1" applyProtection="1">
      <alignment vertical="center"/>
      <protection locked="0"/>
    </xf>
    <xf numFmtId="164" fontId="1" fillId="0" borderId="12" xfId="1" applyNumberFormat="1" applyFont="1" applyBorder="1" applyAlignment="1" applyProtection="1">
      <alignment vertical="center"/>
      <protection locked="0"/>
    </xf>
    <xf numFmtId="0" fontId="6" fillId="0" borderId="7" xfId="1" applyFont="1" applyFill="1" applyBorder="1" applyAlignment="1"/>
    <xf numFmtId="172" fontId="1" fillId="0" borderId="4" xfId="1" applyNumberFormat="1" applyFont="1" applyBorder="1" applyAlignment="1" applyProtection="1">
      <alignment horizontal="left" vertical="center"/>
      <protection locked="0"/>
    </xf>
    <xf numFmtId="172" fontId="1" fillId="0" borderId="0" xfId="1" applyNumberFormat="1" applyFont="1" applyBorder="1" applyAlignment="1" applyProtection="1">
      <alignment horizontal="left" vertical="center"/>
      <protection locked="0"/>
    </xf>
    <xf numFmtId="172" fontId="1" fillId="0" borderId="6" xfId="1" applyNumberFormat="1" applyFont="1" applyBorder="1" applyAlignment="1" applyProtection="1">
      <alignment horizontal="left" vertical="center"/>
      <protection locked="0"/>
    </xf>
    <xf numFmtId="172" fontId="1" fillId="0" borderId="12" xfId="1" applyNumberFormat="1" applyFont="1" applyBorder="1" applyAlignment="1" applyProtection="1">
      <alignment horizontal="left" vertical="center"/>
      <protection locked="0"/>
    </xf>
    <xf numFmtId="182" fontId="1" fillId="0" borderId="3" xfId="1" applyNumberFormat="1" applyFont="1" applyBorder="1" applyAlignment="1" applyProtection="1">
      <alignment horizontal="left" vertical="center"/>
      <protection locked="0"/>
    </xf>
    <xf numFmtId="172" fontId="1" fillId="0" borderId="3" xfId="1" applyNumberFormat="1" applyFont="1" applyBorder="1" applyAlignment="1" applyProtection="1">
      <alignment horizontal="left" vertical="center"/>
      <protection locked="0"/>
    </xf>
    <xf numFmtId="182" fontId="1" fillId="0" borderId="12" xfId="1" applyNumberFormat="1" applyFont="1" applyBorder="1" applyAlignment="1" applyProtection="1">
      <alignment horizontal="left" vertical="center"/>
      <protection locked="0"/>
    </xf>
    <xf numFmtId="0" fontId="1" fillId="0" borderId="1" xfId="1" applyFont="1" applyFill="1" applyBorder="1" applyAlignment="1"/>
    <xf numFmtId="179" fontId="1" fillId="0" borderId="1" xfId="1" applyNumberFormat="1" applyFont="1" applyBorder="1" applyAlignment="1" applyProtection="1">
      <alignment horizontal="left" vertical="center"/>
      <protection locked="0"/>
    </xf>
    <xf numFmtId="0" fontId="1" fillId="0" borderId="1" xfId="1" applyFont="1" applyBorder="1" applyAlignment="1" applyProtection="1">
      <alignment vertical="center" wrapText="1"/>
      <protection locked="0"/>
    </xf>
    <xf numFmtId="0" fontId="1" fillId="0" borderId="1" xfId="1" applyFont="1" applyFill="1" applyBorder="1" applyAlignment="1">
      <alignment vertical="top" wrapText="1"/>
    </xf>
    <xf numFmtId="178" fontId="1" fillId="0" borderId="1" xfId="1" applyNumberFormat="1" applyFont="1" applyFill="1" applyBorder="1" applyAlignment="1">
      <alignment horizontal="left" vertical="top" wrapText="1"/>
    </xf>
    <xf numFmtId="172" fontId="1" fillId="0" borderId="1" xfId="1" applyNumberFormat="1" applyFont="1" applyBorder="1" applyAlignment="1" applyProtection="1">
      <alignment horizontal="left" vertical="center"/>
      <protection locked="0"/>
    </xf>
    <xf numFmtId="0" fontId="1" fillId="0" borderId="1" xfId="1" applyFont="1" applyFill="1" applyBorder="1" applyAlignment="1">
      <alignment horizontal="left" vertical="top" wrapText="1"/>
    </xf>
    <xf numFmtId="0" fontId="1" fillId="0" borderId="1" xfId="1" applyNumberFormat="1" applyFont="1" applyBorder="1" applyAlignment="1" applyProtection="1">
      <alignment horizontal="left" vertical="center"/>
      <protection locked="0"/>
    </xf>
    <xf numFmtId="0" fontId="1" fillId="0" borderId="1" xfId="1" applyFont="1" applyBorder="1" applyAlignment="1" applyProtection="1">
      <alignment vertical="center"/>
      <protection locked="0"/>
    </xf>
    <xf numFmtId="0" fontId="1" fillId="0" borderId="1" xfId="1" applyNumberFormat="1" applyFont="1" applyBorder="1" applyAlignment="1" applyProtection="1">
      <alignment vertical="center"/>
      <protection locked="0"/>
    </xf>
    <xf numFmtId="0" fontId="1" fillId="0" borderId="1" xfId="1" applyFont="1" applyFill="1" applyBorder="1" applyAlignment="1">
      <alignment vertical="top"/>
    </xf>
    <xf numFmtId="2" fontId="1" fillId="0" borderId="1" xfId="1" applyNumberFormat="1" applyFont="1" applyBorder="1" applyAlignment="1" applyProtection="1">
      <alignment horizontal="left" vertical="center"/>
      <protection locked="0"/>
    </xf>
    <xf numFmtId="0" fontId="6" fillId="0" borderId="1" xfId="1" applyFont="1" applyFill="1" applyBorder="1" applyAlignment="1">
      <alignment vertical="top"/>
    </xf>
    <xf numFmtId="0" fontId="1" fillId="0" borderId="1" xfId="1" applyFont="1" applyFill="1" applyBorder="1" applyAlignment="1">
      <alignment vertical="center"/>
    </xf>
    <xf numFmtId="169" fontId="1" fillId="0" borderId="1" xfId="1" applyNumberFormat="1" applyFont="1" applyFill="1" applyBorder="1" applyAlignment="1">
      <alignment vertical="top"/>
    </xf>
    <xf numFmtId="0" fontId="1" fillId="0" borderId="1" xfId="1" applyFont="1" applyFill="1" applyBorder="1" applyAlignment="1">
      <alignment horizontal="left"/>
    </xf>
    <xf numFmtId="2" fontId="1" fillId="0" borderId="1" xfId="1" applyNumberFormat="1" applyFont="1" applyFill="1" applyBorder="1" applyAlignment="1"/>
    <xf numFmtId="0" fontId="6" fillId="0" borderId="3" xfId="1" quotePrefix="1" applyFont="1" applyFill="1" applyBorder="1" applyAlignment="1"/>
    <xf numFmtId="0" fontId="6" fillId="0" borderId="3" xfId="1" applyFont="1" applyFill="1" applyBorder="1" applyAlignment="1"/>
    <xf numFmtId="0" fontId="1" fillId="0" borderId="3" xfId="1" applyFont="1" applyFill="1" applyBorder="1" applyAlignment="1">
      <alignment vertical="top"/>
    </xf>
    <xf numFmtId="165" fontId="1" fillId="0" borderId="1" xfId="1" applyNumberFormat="1" applyFont="1" applyFill="1" applyBorder="1" applyAlignment="1"/>
    <xf numFmtId="0" fontId="6" fillId="0" borderId="4" xfId="1" quotePrefix="1" applyFont="1" applyFill="1" applyBorder="1" applyAlignment="1"/>
    <xf numFmtId="0" fontId="6" fillId="0" borderId="0" xfId="1" quotePrefix="1" applyFont="1" applyFill="1" applyBorder="1" applyAlignment="1"/>
    <xf numFmtId="0" fontId="6" fillId="0" borderId="13" xfId="1" applyFont="1" applyFill="1" applyBorder="1" applyAlignment="1"/>
    <xf numFmtId="0" fontId="6" fillId="0" borderId="14" xfId="1" applyFont="1" applyFill="1" applyBorder="1" applyAlignment="1"/>
    <xf numFmtId="0" fontId="1" fillId="0" borderId="14" xfId="1" applyFont="1" applyFill="1" applyBorder="1" applyAlignment="1"/>
    <xf numFmtId="0" fontId="1" fillId="0" borderId="15" xfId="1" applyFont="1" applyFill="1" applyBorder="1" applyAlignment="1"/>
    <xf numFmtId="164" fontId="1" fillId="0" borderId="12" xfId="1" applyNumberFormat="1" applyFont="1" applyFill="1" applyBorder="1" applyAlignment="1">
      <alignment vertical="top" wrapText="1"/>
    </xf>
    <xf numFmtId="2" fontId="1" fillId="0" borderId="8" xfId="1" applyNumberFormat="1" applyFont="1" applyFill="1" applyBorder="1" applyAlignment="1"/>
    <xf numFmtId="165" fontId="1" fillId="0" borderId="10" xfId="1" applyNumberFormat="1" applyFont="1" applyFill="1" applyBorder="1" applyAlignment="1"/>
    <xf numFmtId="0" fontId="1" fillId="0" borderId="4" xfId="1" applyNumberFormat="1" applyFont="1" applyFill="1" applyBorder="1" applyAlignment="1"/>
    <xf numFmtId="179" fontId="1" fillId="0" borderId="8" xfId="1" applyNumberFormat="1" applyFont="1" applyFill="1" applyBorder="1" applyAlignment="1"/>
    <xf numFmtId="0" fontId="6" fillId="0" borderId="6" xfId="1" quotePrefix="1" applyFont="1" applyFill="1" applyBorder="1" applyAlignment="1"/>
    <xf numFmtId="0" fontId="6" fillId="0" borderId="6" xfId="1" applyFont="1" applyFill="1" applyBorder="1" applyAlignment="1"/>
    <xf numFmtId="190" fontId="1" fillId="0" borderId="6" xfId="1" applyNumberFormat="1" applyFont="1" applyFill="1" applyBorder="1" applyAlignment="1"/>
    <xf numFmtId="179" fontId="1" fillId="0" borderId="11" xfId="1" applyNumberFormat="1" applyFont="1" applyFill="1" applyBorder="1" applyAlignment="1"/>
    <xf numFmtId="196" fontId="1" fillId="0" borderId="12" xfId="1" applyNumberFormat="1" applyFont="1" applyFill="1" applyBorder="1" applyAlignment="1"/>
    <xf numFmtId="196" fontId="1" fillId="0" borderId="3" xfId="1" applyNumberFormat="1" applyFont="1" applyFill="1" applyBorder="1" applyAlignment="1"/>
    <xf numFmtId="179" fontId="1" fillId="0" borderId="3" xfId="1" applyNumberFormat="1" applyFont="1" applyFill="1" applyBorder="1" applyAlignment="1"/>
    <xf numFmtId="169" fontId="12" fillId="0" borderId="8" xfId="3" applyNumberFormat="1" applyFill="1" applyBorder="1" applyAlignment="1">
      <alignment horizontal="left" vertical="top"/>
    </xf>
    <xf numFmtId="169" fontId="12" fillId="0" borderId="10" xfId="3" applyNumberFormat="1" applyFill="1" applyBorder="1" applyAlignment="1">
      <alignment horizontal="left" vertical="top"/>
    </xf>
    <xf numFmtId="169" fontId="12" fillId="0" borderId="11" xfId="3" applyNumberFormat="1" applyFill="1" applyBorder="1" applyAlignment="1">
      <alignment horizontal="left" vertical="top"/>
    </xf>
    <xf numFmtId="0" fontId="12" fillId="0" borderId="4" xfId="3" applyNumberFormat="1" applyFill="1" applyBorder="1" applyAlignment="1">
      <alignment vertical="top"/>
    </xf>
    <xf numFmtId="0" fontId="12" fillId="0" borderId="0" xfId="3" applyNumberFormat="1" applyFill="1" applyBorder="1" applyAlignment="1">
      <alignment horizontal="left"/>
    </xf>
    <xf numFmtId="2" fontId="12" fillId="0" borderId="0" xfId="3" applyNumberFormat="1" applyFill="1" applyBorder="1" applyAlignment="1">
      <alignment horizontal="left"/>
    </xf>
    <xf numFmtId="169" fontId="12" fillId="0" borderId="4" xfId="3" applyNumberFormat="1" applyFill="1" applyBorder="1" applyAlignment="1">
      <alignment horizontal="left" vertical="top"/>
    </xf>
    <xf numFmtId="0" fontId="12" fillId="0" borderId="0" xfId="3" applyNumberFormat="1" applyFill="1" applyBorder="1" applyAlignment="1">
      <alignment horizontal="left" vertical="top"/>
    </xf>
    <xf numFmtId="0" fontId="12" fillId="0" borderId="6" xfId="3" applyNumberFormat="1" applyFill="1" applyBorder="1" applyAlignment="1">
      <alignment horizontal="left" vertical="top"/>
    </xf>
    <xf numFmtId="0" fontId="12" fillId="0" borderId="10" xfId="3" applyNumberFormat="1" applyFill="1" applyBorder="1" applyAlignment="1">
      <alignment horizontal="left" vertical="top"/>
    </xf>
    <xf numFmtId="209" fontId="12" fillId="0" borderId="10" xfId="3" applyNumberFormat="1" applyFill="1" applyBorder="1" applyAlignment="1">
      <alignment horizontal="left" vertical="top"/>
    </xf>
    <xf numFmtId="0" fontId="2" fillId="0" borderId="7" xfId="1" applyFont="1" applyFill="1" applyBorder="1"/>
    <xf numFmtId="0" fontId="2" fillId="0" borderId="9" xfId="1" applyFont="1" applyFill="1" applyBorder="1"/>
    <xf numFmtId="209" fontId="12" fillId="0" borderId="11" xfId="3" applyNumberFormat="1" applyFill="1" applyBorder="1" applyAlignment="1">
      <alignment horizontal="left" vertical="top"/>
    </xf>
    <xf numFmtId="0" fontId="1" fillId="2" borderId="7" xfId="1" applyFont="1" applyFill="1" applyBorder="1"/>
    <xf numFmtId="0" fontId="1" fillId="2" borderId="4" xfId="1" applyFont="1" applyFill="1" applyBorder="1"/>
    <xf numFmtId="0" fontId="3" fillId="2" borderId="4" xfId="1" applyFont="1" applyFill="1" applyBorder="1"/>
    <xf numFmtId="173" fontId="12" fillId="2" borderId="8" xfId="3" applyNumberFormat="1" applyFill="1" applyBorder="1" applyAlignment="1">
      <alignment horizontal="left" vertical="top"/>
    </xf>
    <xf numFmtId="0" fontId="1" fillId="2" borderId="9" xfId="1" applyFont="1" applyFill="1" applyBorder="1"/>
    <xf numFmtId="0" fontId="1" fillId="2" borderId="0" xfId="1" applyFont="1" applyFill="1" applyBorder="1"/>
    <xf numFmtId="0" fontId="3" fillId="2" borderId="0" xfId="1" applyFont="1" applyFill="1" applyBorder="1"/>
    <xf numFmtId="172" fontId="12" fillId="2" borderId="10" xfId="3" applyNumberFormat="1" applyFill="1" applyBorder="1" applyAlignment="1">
      <alignment horizontal="left" vertical="top"/>
    </xf>
    <xf numFmtId="0" fontId="12" fillId="2" borderId="10" xfId="3" applyNumberFormat="1" applyFill="1" applyBorder="1" applyAlignment="1">
      <alignment horizontal="left" vertical="top"/>
    </xf>
    <xf numFmtId="173" fontId="12" fillId="2" borderId="10" xfId="3" applyNumberFormat="1" applyFill="1" applyBorder="1" applyAlignment="1">
      <alignment horizontal="left" vertical="top"/>
    </xf>
    <xf numFmtId="174" fontId="12" fillId="2" borderId="10" xfId="3" applyNumberFormat="1" applyFill="1" applyBorder="1" applyAlignment="1">
      <alignment horizontal="left" vertical="top"/>
    </xf>
    <xf numFmtId="0" fontId="1" fillId="2" borderId="5" xfId="1" applyFont="1" applyFill="1" applyBorder="1"/>
    <xf numFmtId="0" fontId="1" fillId="2" borderId="6" xfId="1" applyFont="1" applyFill="1" applyBorder="1"/>
    <xf numFmtId="0" fontId="3" fillId="2" borderId="6" xfId="1" applyFont="1" applyFill="1" applyBorder="1"/>
    <xf numFmtId="172" fontId="12" fillId="2" borderId="11" xfId="3" applyNumberFormat="1" applyFill="1" applyBorder="1" applyAlignment="1">
      <alignment horizontal="left" vertical="top"/>
    </xf>
    <xf numFmtId="176" fontId="12" fillId="0" borderId="2" xfId="3" applyNumberFormat="1" applyFill="1" applyBorder="1" applyAlignment="1">
      <alignment horizontal="left" vertical="top"/>
    </xf>
    <xf numFmtId="0" fontId="1" fillId="2" borderId="0" xfId="1" applyFont="1" applyFill="1"/>
    <xf numFmtId="0" fontId="3" fillId="2" borderId="0" xfId="1" applyFont="1" applyFill="1"/>
    <xf numFmtId="172" fontId="1" fillId="2" borderId="0" xfId="1" applyNumberFormat="1" applyFont="1" applyFill="1" applyAlignment="1">
      <alignment horizontal="left" vertical="top"/>
    </xf>
    <xf numFmtId="176" fontId="1" fillId="2" borderId="0" xfId="1" applyNumberFormat="1" applyFont="1" applyFill="1" applyAlignment="1">
      <alignment horizontal="left" vertical="top"/>
    </xf>
    <xf numFmtId="172" fontId="1" fillId="2" borderId="8" xfId="1" applyNumberFormat="1" applyFont="1" applyFill="1" applyBorder="1" applyAlignment="1">
      <alignment horizontal="left" vertical="top"/>
    </xf>
    <xf numFmtId="179" fontId="1" fillId="2" borderId="10" xfId="1" applyNumberFormat="1" applyFont="1" applyFill="1" applyBorder="1" applyAlignment="1">
      <alignment horizontal="left" vertical="top"/>
    </xf>
    <xf numFmtId="0" fontId="1" fillId="2" borderId="7" xfId="1" applyFont="1" applyFill="1" applyBorder="1" applyAlignment="1"/>
    <xf numFmtId="0" fontId="1" fillId="2" borderId="4" xfId="1" applyFont="1" applyFill="1" applyBorder="1" applyAlignment="1">
      <alignment wrapText="1"/>
    </xf>
    <xf numFmtId="0" fontId="1" fillId="2" borderId="8" xfId="1" applyFont="1" applyFill="1" applyBorder="1" applyAlignment="1">
      <alignment wrapText="1"/>
    </xf>
    <xf numFmtId="0" fontId="1" fillId="2" borderId="5" xfId="1" applyFont="1" applyFill="1" applyBorder="1" applyAlignment="1"/>
    <xf numFmtId="0" fontId="1" fillId="2" borderId="6" xfId="1" applyFont="1" applyFill="1" applyBorder="1" applyAlignment="1">
      <alignment wrapText="1"/>
    </xf>
    <xf numFmtId="176" fontId="1" fillId="2" borderId="8" xfId="1" applyNumberFormat="1" applyFont="1" applyFill="1" applyBorder="1" applyAlignment="1">
      <alignment horizontal="left" vertical="top"/>
    </xf>
    <xf numFmtId="180" fontId="1" fillId="2" borderId="11" xfId="1" applyNumberFormat="1" applyFont="1" applyFill="1" applyBorder="1" applyAlignment="1">
      <alignment horizontal="left" vertical="top"/>
    </xf>
    <xf numFmtId="179" fontId="1" fillId="2" borderId="4" xfId="1" applyNumberFormat="1" applyFont="1" applyFill="1" applyBorder="1" applyAlignment="1">
      <alignment horizontal="left" vertical="top"/>
    </xf>
    <xf numFmtId="179" fontId="1" fillId="2" borderId="8" xfId="1" applyNumberFormat="1" applyFont="1" applyFill="1" applyBorder="1" applyAlignment="1">
      <alignment horizontal="left" vertical="top"/>
    </xf>
    <xf numFmtId="179" fontId="1" fillId="2" borderId="0" xfId="1" applyNumberFormat="1" applyFont="1" applyFill="1" applyBorder="1" applyAlignment="1">
      <alignment horizontal="left" vertical="top"/>
    </xf>
    <xf numFmtId="172" fontId="1" fillId="2" borderId="4" xfId="1" applyNumberFormat="1" applyFont="1" applyFill="1" applyBorder="1" applyAlignment="1">
      <alignment horizontal="left" vertical="top"/>
    </xf>
    <xf numFmtId="0" fontId="12" fillId="0" borderId="12" xfId="3" applyNumberFormat="1" applyBorder="1" applyAlignment="1" applyProtection="1">
      <alignment vertical="center"/>
      <protection locked="0"/>
    </xf>
    <xf numFmtId="190" fontId="12" fillId="0" borderId="8" xfId="3" applyNumberFormat="1" applyBorder="1" applyAlignment="1" applyProtection="1">
      <alignment vertical="center"/>
      <protection locked="0"/>
    </xf>
    <xf numFmtId="190" fontId="12" fillId="0" borderId="10" xfId="3" applyNumberFormat="1" applyBorder="1" applyAlignment="1" applyProtection="1">
      <alignment vertical="center"/>
      <protection locked="0"/>
    </xf>
    <xf numFmtId="190" fontId="12" fillId="0" borderId="11" xfId="3" applyNumberFormat="1" applyBorder="1" applyAlignment="1" applyProtection="1">
      <alignment vertical="center"/>
      <protection locked="0"/>
    </xf>
    <xf numFmtId="182" fontId="1" fillId="0" borderId="12" xfId="1" applyNumberFormat="1" applyFont="1" applyBorder="1" applyAlignment="1" applyProtection="1">
      <alignment vertical="center"/>
      <protection locked="0"/>
    </xf>
    <xf numFmtId="176" fontId="12" fillId="2" borderId="11" xfId="3" applyNumberFormat="1" applyFill="1" applyBorder="1" applyAlignment="1">
      <alignment horizontal="left" vertical="top"/>
    </xf>
    <xf numFmtId="176" fontId="12" fillId="2" borderId="0" xfId="3" applyNumberFormat="1" applyFill="1" applyAlignment="1">
      <alignment horizontal="left" vertical="top"/>
    </xf>
    <xf numFmtId="0" fontId="12" fillId="2" borderId="8" xfId="3" applyNumberFormat="1" applyFill="1" applyBorder="1" applyAlignment="1">
      <alignment wrapText="1"/>
    </xf>
    <xf numFmtId="0" fontId="12" fillId="2" borderId="11" xfId="3" applyNumberFormat="1" applyFill="1" applyBorder="1" applyAlignment="1">
      <alignment wrapText="1"/>
    </xf>
    <xf numFmtId="176" fontId="1" fillId="0" borderId="12" xfId="1" applyNumberFormat="1" applyFont="1" applyFill="1" applyBorder="1" applyAlignment="1">
      <alignment horizontal="left" vertical="top"/>
    </xf>
    <xf numFmtId="0" fontId="1" fillId="0" borderId="1" xfId="1" applyFont="1" applyFill="1" applyBorder="1" applyAlignment="1">
      <alignment horizontal="left" vertical="center"/>
    </xf>
    <xf numFmtId="0" fontId="1" fillId="0" borderId="1" xfId="2" applyFont="1" applyBorder="1">
      <alignment vertical="center"/>
    </xf>
    <xf numFmtId="0" fontId="1" fillId="0" borderId="1" xfId="2" applyBorder="1">
      <alignment vertical="center"/>
    </xf>
    <xf numFmtId="206" fontId="1" fillId="0" borderId="1" xfId="2" applyNumberFormat="1" applyFont="1" applyBorder="1">
      <alignment vertical="center"/>
    </xf>
    <xf numFmtId="0" fontId="1" fillId="0" borderId="1" xfId="2" applyFont="1" applyFill="1" applyBorder="1">
      <alignment vertical="center"/>
    </xf>
    <xf numFmtId="2" fontId="1" fillId="0" borderId="1" xfId="2" applyNumberFormat="1" applyBorder="1">
      <alignment vertical="center"/>
    </xf>
    <xf numFmtId="0" fontId="1" fillId="0" borderId="9" xfId="1" applyFont="1" applyFill="1" applyBorder="1" applyAlignment="1">
      <alignment horizontal="left" wrapText="1"/>
    </xf>
    <xf numFmtId="0" fontId="1" fillId="0" borderId="0" xfId="1" applyFont="1" applyFill="1" applyBorder="1" applyAlignment="1">
      <alignment horizontal="left" wrapText="1"/>
    </xf>
    <xf numFmtId="0" fontId="1" fillId="0" borderId="10" xfId="1" applyFont="1" applyFill="1" applyBorder="1" applyAlignment="1">
      <alignment horizontal="left" wrapText="1"/>
    </xf>
    <xf numFmtId="200" fontId="1" fillId="0" borderId="3" xfId="1" applyNumberFormat="1" applyFont="1" applyFill="1" applyBorder="1" applyAlignment="1">
      <alignment horizontal="left" vertical="top" wrapText="1"/>
    </xf>
    <xf numFmtId="200" fontId="1" fillId="0" borderId="12" xfId="1" applyNumberFormat="1" applyFont="1" applyFill="1" applyBorder="1" applyAlignment="1">
      <alignment horizontal="left" vertical="top" wrapText="1"/>
    </xf>
    <xf numFmtId="178" fontId="1" fillId="0" borderId="0" xfId="1" applyNumberFormat="1" applyFont="1" applyFill="1" applyAlignment="1">
      <alignment horizontal="left"/>
    </xf>
    <xf numFmtId="199" fontId="1" fillId="0" borderId="2" xfId="1" applyNumberFormat="1" applyFont="1" applyFill="1" applyBorder="1" applyAlignment="1">
      <alignment horizontal="left"/>
    </xf>
    <xf numFmtId="199" fontId="1" fillId="0" borderId="3" xfId="1" applyNumberFormat="1" applyFont="1" applyFill="1" applyBorder="1" applyAlignment="1">
      <alignment horizontal="left"/>
    </xf>
    <xf numFmtId="199" fontId="1" fillId="0" borderId="12" xfId="1" applyNumberFormat="1" applyFont="1" applyFill="1" applyBorder="1" applyAlignment="1">
      <alignment horizontal="left"/>
    </xf>
    <xf numFmtId="205" fontId="1" fillId="0" borderId="4" xfId="1" applyNumberFormat="1" applyFont="1" applyBorder="1" applyAlignment="1" applyProtection="1">
      <alignment horizontal="left" vertical="center"/>
      <protection locked="0"/>
    </xf>
    <xf numFmtId="205" fontId="1" fillId="0" borderId="8" xfId="1" applyNumberFormat="1" applyFont="1" applyBorder="1" applyAlignment="1" applyProtection="1">
      <alignment horizontal="left" vertical="center"/>
      <protection locked="0"/>
    </xf>
    <xf numFmtId="205" fontId="1" fillId="0" borderId="0" xfId="1" applyNumberFormat="1" applyFont="1" applyBorder="1" applyAlignment="1" applyProtection="1">
      <alignment horizontal="left" vertical="center"/>
      <protection locked="0"/>
    </xf>
    <xf numFmtId="205" fontId="1" fillId="0" borderId="10" xfId="1" applyNumberFormat="1" applyFont="1" applyBorder="1" applyAlignment="1" applyProtection="1">
      <alignment horizontal="left" vertical="center"/>
      <protection locked="0"/>
    </xf>
    <xf numFmtId="196" fontId="1" fillId="0" borderId="6" xfId="1" applyNumberFormat="1" applyFont="1" applyFill="1" applyBorder="1" applyAlignment="1">
      <alignment horizontal="left"/>
    </xf>
    <xf numFmtId="196" fontId="1" fillId="0" borderId="11" xfId="1" applyNumberFormat="1" applyFont="1" applyFill="1" applyBorder="1" applyAlignment="1">
      <alignment horizontal="left"/>
    </xf>
    <xf numFmtId="178" fontId="1" fillId="0" borderId="3" xfId="1" applyNumberFormat="1" applyFont="1" applyFill="1" applyBorder="1" applyAlignment="1">
      <alignment horizontal="left"/>
    </xf>
    <xf numFmtId="178" fontId="1" fillId="0" borderId="12" xfId="1" applyNumberFormat="1" applyFont="1" applyFill="1" applyBorder="1" applyAlignment="1">
      <alignment horizontal="left"/>
    </xf>
    <xf numFmtId="176" fontId="1" fillId="0" borderId="4" xfId="1" applyNumberFormat="1" applyFont="1" applyFill="1" applyBorder="1" applyAlignment="1">
      <alignment horizontal="left" vertical="top" wrapText="1"/>
    </xf>
    <xf numFmtId="176" fontId="1" fillId="0" borderId="8" xfId="1" applyNumberFormat="1" applyFont="1" applyFill="1" applyBorder="1" applyAlignment="1">
      <alignment horizontal="left" vertical="top" wrapText="1"/>
    </xf>
    <xf numFmtId="198" fontId="1" fillId="0" borderId="0" xfId="1" applyNumberFormat="1" applyFont="1" applyFill="1" applyBorder="1" applyAlignment="1">
      <alignment horizontal="left" vertical="top" wrapText="1"/>
    </xf>
    <xf numFmtId="198" fontId="1" fillId="0" borderId="10" xfId="1" applyNumberFormat="1" applyFont="1" applyFill="1" applyBorder="1" applyAlignment="1">
      <alignment horizontal="left" vertical="top" wrapText="1"/>
    </xf>
    <xf numFmtId="178" fontId="1" fillId="0" borderId="6" xfId="1" applyNumberFormat="1" applyFont="1" applyFill="1" applyBorder="1" applyAlignment="1">
      <alignment horizontal="left" vertical="top" wrapText="1"/>
    </xf>
    <xf numFmtId="178" fontId="1" fillId="0" borderId="11" xfId="1" applyNumberFormat="1" applyFont="1" applyFill="1" applyBorder="1" applyAlignment="1">
      <alignment horizontal="left" vertical="top" wrapText="1"/>
    </xf>
    <xf numFmtId="178" fontId="1" fillId="0" borderId="3" xfId="1" applyNumberFormat="1" applyFont="1" applyFill="1" applyBorder="1" applyAlignment="1">
      <alignment horizontal="left" vertical="top" wrapText="1"/>
    </xf>
    <xf numFmtId="178" fontId="1" fillId="0" borderId="12" xfId="1" applyNumberFormat="1" applyFont="1" applyFill="1" applyBorder="1" applyAlignment="1">
      <alignment horizontal="left" vertical="top" wrapText="1"/>
    </xf>
    <xf numFmtId="179" fontId="1" fillId="0" borderId="3" xfId="1" applyNumberFormat="1" applyFont="1" applyFill="1" applyBorder="1" applyAlignment="1">
      <alignment horizontal="left"/>
    </xf>
    <xf numFmtId="179" fontId="1" fillId="0" borderId="12" xfId="1" applyNumberFormat="1" applyFont="1" applyFill="1" applyBorder="1" applyAlignment="1">
      <alignment horizontal="left"/>
    </xf>
    <xf numFmtId="0" fontId="1" fillId="0" borderId="0" xfId="1" applyFont="1" applyFill="1" applyAlignment="1">
      <alignment horizontal="left" wrapText="1"/>
    </xf>
    <xf numFmtId="182" fontId="1" fillId="0" borderId="0" xfId="1" applyNumberFormat="1" applyFont="1" applyFill="1" applyAlignment="1">
      <alignment horizontal="left" vertical="top" wrapText="1"/>
    </xf>
    <xf numFmtId="203" fontId="1" fillId="0" borderId="0" xfId="1" applyNumberFormat="1" applyFont="1" applyAlignment="1" applyProtection="1">
      <alignment horizontal="left" vertical="center"/>
      <protection locked="0"/>
    </xf>
    <xf numFmtId="178" fontId="1" fillId="0" borderId="0" xfId="1" applyNumberFormat="1" applyFont="1" applyFill="1" applyAlignment="1">
      <alignment horizontal="left" vertical="top" wrapText="1"/>
    </xf>
    <xf numFmtId="2" fontId="1" fillId="0" borderId="0" xfId="1" applyNumberFormat="1" applyFont="1" applyFill="1" applyAlignment="1">
      <alignment horizontal="left" vertical="top" wrapText="1"/>
    </xf>
    <xf numFmtId="201" fontId="1" fillId="0" borderId="0" xfId="1" applyNumberFormat="1" applyFont="1" applyFill="1" applyAlignment="1">
      <alignment horizontal="left" vertical="top" wrapText="1"/>
    </xf>
    <xf numFmtId="207" fontId="1" fillId="0" borderId="0" xfId="1" applyNumberFormat="1" applyFont="1" applyFill="1" applyBorder="1" applyAlignment="1">
      <alignment horizontal="left" vertical="top" wrapText="1"/>
    </xf>
    <xf numFmtId="207" fontId="1" fillId="0" borderId="10" xfId="1" applyNumberFormat="1" applyFont="1" applyFill="1" applyBorder="1" applyAlignment="1">
      <alignment horizontal="left" vertical="top" wrapText="1"/>
    </xf>
    <xf numFmtId="199" fontId="1" fillId="0" borderId="0" xfId="1" applyNumberFormat="1" applyFont="1" applyFill="1" applyAlignment="1">
      <alignment horizontal="left"/>
    </xf>
    <xf numFmtId="178" fontId="1" fillId="0" borderId="0" xfId="1" applyNumberFormat="1" applyFont="1" applyFill="1" applyAlignment="1">
      <alignment horizontal="center"/>
    </xf>
    <xf numFmtId="179" fontId="1" fillId="0" borderId="0" xfId="1" applyNumberFormat="1" applyFont="1" applyAlignment="1" applyProtection="1">
      <alignment horizontal="left" vertical="center"/>
      <protection locked="0"/>
    </xf>
    <xf numFmtId="179" fontId="1" fillId="0" borderId="0" xfId="1" applyNumberFormat="1" applyFont="1" applyFill="1" applyAlignment="1">
      <alignment horizontal="left"/>
    </xf>
    <xf numFmtId="0" fontId="1" fillId="0" borderId="1" xfId="1" applyFont="1" applyFill="1" applyBorder="1" applyAlignment="1">
      <alignment horizontal="left" vertical="center"/>
    </xf>
    <xf numFmtId="0" fontId="1" fillId="0" borderId="0" xfId="1" applyFont="1" applyAlignment="1" applyProtection="1">
      <alignment horizontal="left" vertical="center" wrapText="1"/>
      <protection locked="0"/>
    </xf>
    <xf numFmtId="0" fontId="1" fillId="0" borderId="0" xfId="1" applyFont="1" applyFill="1" applyAlignment="1">
      <alignment horizontal="left" vertical="center"/>
    </xf>
    <xf numFmtId="0" fontId="1" fillId="0" borderId="1" xfId="1" applyFont="1" applyFill="1" applyBorder="1" applyAlignment="1">
      <alignment horizontal="center" vertical="center"/>
    </xf>
    <xf numFmtId="0" fontId="1" fillId="0" borderId="1" xfId="1" applyNumberFormat="1" applyFont="1" applyBorder="1" applyAlignment="1" applyProtection="1">
      <alignment horizontal="center" vertical="center"/>
      <protection locked="0"/>
    </xf>
    <xf numFmtId="172" fontId="1" fillId="0" borderId="1" xfId="1" applyNumberFormat="1" applyFont="1" applyBorder="1" applyAlignment="1" applyProtection="1">
      <alignment horizontal="center" vertical="center"/>
      <protection locked="0"/>
    </xf>
    <xf numFmtId="0" fontId="1" fillId="0" borderId="1" xfId="1" applyNumberFormat="1" applyFont="1" applyBorder="1" applyAlignment="1" applyProtection="1">
      <alignment horizontal="center" vertical="center" wrapText="1"/>
      <protection locked="0"/>
    </xf>
    <xf numFmtId="0" fontId="1" fillId="0" borderId="1" xfId="1" applyFont="1" applyFill="1" applyBorder="1" applyAlignment="1">
      <alignment horizontal="center" vertical="center" wrapText="1"/>
    </xf>
    <xf numFmtId="179" fontId="1" fillId="0" borderId="1" xfId="1" applyNumberFormat="1" applyFont="1" applyBorder="1" applyAlignment="1" applyProtection="1">
      <alignment horizontal="left" vertical="center"/>
      <protection locked="0"/>
    </xf>
    <xf numFmtId="178" fontId="1" fillId="0" borderId="1" xfId="1" applyNumberFormat="1" applyFont="1" applyFill="1" applyBorder="1" applyAlignment="1">
      <alignment horizontal="left" vertical="top" wrapText="1"/>
    </xf>
    <xf numFmtId="0" fontId="1" fillId="0" borderId="0" xfId="1" applyFont="1" applyFill="1" applyAlignment="1">
      <alignment horizontal="left" vertical="top" wrapText="1"/>
    </xf>
    <xf numFmtId="178" fontId="1" fillId="0" borderId="4" xfId="1" applyNumberFormat="1" applyFont="1" applyBorder="1" applyAlignment="1" applyProtection="1">
      <alignment horizontal="left" vertical="center"/>
      <protection locked="0"/>
    </xf>
    <xf numFmtId="178" fontId="1" fillId="0" borderId="8" xfId="1" applyNumberFormat="1" applyFont="1" applyBorder="1" applyAlignment="1" applyProtection="1">
      <alignment horizontal="left" vertical="center"/>
      <protection locked="0"/>
    </xf>
    <xf numFmtId="178" fontId="1" fillId="0" borderId="0" xfId="1" applyNumberFormat="1" applyFont="1" applyBorder="1" applyAlignment="1" applyProtection="1">
      <alignment horizontal="left" vertical="center"/>
      <protection locked="0"/>
    </xf>
    <xf numFmtId="178" fontId="1" fillId="0" borderId="10" xfId="1" applyNumberFormat="1" applyFont="1" applyBorder="1" applyAlignment="1" applyProtection="1">
      <alignment horizontal="left" vertical="center"/>
      <protection locked="0"/>
    </xf>
    <xf numFmtId="178" fontId="1" fillId="0" borderId="6" xfId="1" applyNumberFormat="1" applyFont="1" applyBorder="1" applyAlignment="1" applyProtection="1">
      <alignment horizontal="left" vertical="center"/>
      <protection locked="0"/>
    </xf>
    <xf numFmtId="178" fontId="1" fillId="0" borderId="11" xfId="1" applyNumberFormat="1" applyFont="1" applyBorder="1" applyAlignment="1" applyProtection="1">
      <alignment horizontal="left" vertical="center"/>
      <protection locked="0"/>
    </xf>
    <xf numFmtId="183" fontId="1" fillId="0" borderId="0" xfId="1" applyNumberFormat="1" applyFont="1" applyAlignment="1" applyProtection="1">
      <alignment horizontal="left" vertical="center"/>
      <protection locked="0"/>
    </xf>
    <xf numFmtId="178" fontId="1" fillId="0" borderId="3" xfId="1" applyNumberFormat="1" applyFont="1" applyBorder="1" applyAlignment="1" applyProtection="1">
      <alignment horizontal="left" vertical="center"/>
      <protection locked="0"/>
    </xf>
    <xf numFmtId="178" fontId="1" fillId="0" borderId="12" xfId="1" applyNumberFormat="1" applyFont="1" applyBorder="1" applyAlignment="1" applyProtection="1">
      <alignment horizontal="left" vertical="center"/>
      <protection locked="0"/>
    </xf>
    <xf numFmtId="179" fontId="1" fillId="0" borderId="4" xfId="1" applyNumberFormat="1" applyFont="1" applyBorder="1" applyAlignment="1" applyProtection="1">
      <alignment horizontal="left" vertical="center"/>
      <protection locked="0"/>
    </xf>
    <xf numFmtId="179" fontId="1" fillId="0" borderId="8" xfId="1" applyNumberFormat="1" applyFont="1" applyBorder="1" applyAlignment="1" applyProtection="1">
      <alignment horizontal="left" vertical="center"/>
      <protection locked="0"/>
    </xf>
    <xf numFmtId="179" fontId="1" fillId="0" borderId="0" xfId="1" applyNumberFormat="1" applyFont="1" applyBorder="1" applyAlignment="1" applyProtection="1">
      <alignment horizontal="left" vertical="center"/>
      <protection locked="0"/>
    </xf>
    <xf numFmtId="179" fontId="1" fillId="0" borderId="10" xfId="1" applyNumberFormat="1" applyFont="1" applyBorder="1" applyAlignment="1" applyProtection="1">
      <alignment horizontal="left" vertical="center"/>
      <protection locked="0"/>
    </xf>
    <xf numFmtId="179" fontId="1" fillId="0" borderId="6" xfId="1" applyNumberFormat="1" applyFont="1" applyBorder="1" applyAlignment="1" applyProtection="1">
      <alignment horizontal="left" vertical="center"/>
      <protection locked="0"/>
    </xf>
    <xf numFmtId="179" fontId="1" fillId="0" borderId="11" xfId="1" applyNumberFormat="1" applyFont="1" applyBorder="1" applyAlignment="1" applyProtection="1">
      <alignment horizontal="left" vertical="center"/>
      <protection locked="0"/>
    </xf>
    <xf numFmtId="179" fontId="1" fillId="0" borderId="3" xfId="1" applyNumberFormat="1" applyFont="1" applyBorder="1" applyAlignment="1" applyProtection="1">
      <alignment horizontal="left" vertical="center"/>
      <protection locked="0"/>
    </xf>
    <xf numFmtId="179" fontId="1" fillId="0" borderId="12" xfId="1" applyNumberFormat="1" applyFont="1" applyBorder="1" applyAlignment="1" applyProtection="1">
      <alignment horizontal="left" vertical="center"/>
      <protection locked="0"/>
    </xf>
    <xf numFmtId="191" fontId="1" fillId="0" borderId="0" xfId="1" applyNumberFormat="1" applyFont="1" applyAlignment="1" applyProtection="1">
      <alignment horizontal="left" vertical="center"/>
      <protection locked="0"/>
    </xf>
    <xf numFmtId="0" fontId="1" fillId="0" borderId="0" xfId="1" applyFont="1" applyAlignment="1">
      <alignment horizontal="left" vertical="center" wrapText="1"/>
    </xf>
    <xf numFmtId="172" fontId="1" fillId="0" borderId="3" xfId="1" applyNumberFormat="1" applyFont="1" applyBorder="1" applyAlignment="1" applyProtection="1">
      <alignment horizontal="left" vertical="center"/>
      <protection locked="0"/>
    </xf>
    <xf numFmtId="172" fontId="1" fillId="0" borderId="12" xfId="1" applyNumberFormat="1" applyFont="1" applyBorder="1" applyAlignment="1" applyProtection="1">
      <alignment horizontal="left" vertical="center"/>
      <protection locked="0"/>
    </xf>
    <xf numFmtId="170" fontId="1" fillId="0" borderId="0" xfId="1" applyNumberFormat="1" applyFont="1" applyFill="1" applyAlignment="1">
      <alignment horizontal="left" vertical="top"/>
    </xf>
    <xf numFmtId="178" fontId="1" fillId="0" borderId="6" xfId="1" applyNumberFormat="1" applyFont="1" applyFill="1" applyBorder="1" applyAlignment="1">
      <alignment horizontal="left"/>
    </xf>
    <xf numFmtId="178" fontId="1" fillId="0" borderId="11" xfId="1" applyNumberFormat="1" applyFont="1" applyFill="1" applyBorder="1" applyAlignment="1">
      <alignment horizontal="left"/>
    </xf>
    <xf numFmtId="179" fontId="1" fillId="0" borderId="6" xfId="1" applyNumberFormat="1" applyFont="1" applyFill="1" applyBorder="1" applyAlignment="1">
      <alignment horizontal="left"/>
    </xf>
    <xf numFmtId="179" fontId="1" fillId="0" borderId="11" xfId="1" applyNumberFormat="1" applyFont="1" applyFill="1" applyBorder="1" applyAlignment="1">
      <alignment horizontal="left"/>
    </xf>
    <xf numFmtId="179" fontId="1" fillId="0" borderId="0" xfId="1" applyNumberFormat="1" applyFont="1" applyFill="1" applyBorder="1" applyAlignment="1">
      <alignment horizontal="left"/>
    </xf>
    <xf numFmtId="179" fontId="1" fillId="0" borderId="10" xfId="1" applyNumberFormat="1" applyFont="1" applyFill="1" applyBorder="1" applyAlignment="1">
      <alignment horizontal="left"/>
    </xf>
    <xf numFmtId="182" fontId="1" fillId="0" borderId="0" xfId="1" applyNumberFormat="1" applyFont="1" applyFill="1" applyBorder="1" applyAlignment="1">
      <alignment horizontal="left"/>
    </xf>
    <xf numFmtId="182" fontId="1" fillId="0" borderId="10" xfId="1" applyNumberFormat="1" applyFont="1" applyFill="1" applyBorder="1" applyAlignment="1">
      <alignment horizontal="left"/>
    </xf>
    <xf numFmtId="171" fontId="12" fillId="0" borderId="6" xfId="3" applyNumberFormat="1" applyFill="1" applyBorder="1" applyAlignment="1">
      <alignment horizontal="left"/>
    </xf>
    <xf numFmtId="171" fontId="12" fillId="0" borderId="11" xfId="3" applyNumberFormat="1" applyFill="1" applyBorder="1" applyAlignment="1">
      <alignment horizontal="left"/>
    </xf>
    <xf numFmtId="179" fontId="1" fillId="0" borderId="2" xfId="1" applyNumberFormat="1" applyFont="1" applyBorder="1" applyAlignment="1" applyProtection="1">
      <alignment horizontal="center" vertical="center"/>
      <protection locked="0"/>
    </xf>
    <xf numFmtId="179" fontId="1" fillId="0" borderId="12" xfId="1" applyNumberFormat="1" applyFont="1" applyBorder="1" applyAlignment="1" applyProtection="1">
      <alignment horizontal="center" vertical="center"/>
      <protection locked="0"/>
    </xf>
    <xf numFmtId="0" fontId="1" fillId="0" borderId="2" xfId="1" applyFont="1" applyFill="1" applyBorder="1" applyAlignment="1">
      <alignment horizontal="center" vertical="top" wrapText="1"/>
    </xf>
    <xf numFmtId="0" fontId="1" fillId="0" borderId="12" xfId="1" applyFont="1" applyFill="1" applyBorder="1" applyAlignment="1">
      <alignment horizontal="center" vertical="top" wrapText="1"/>
    </xf>
    <xf numFmtId="170" fontId="12" fillId="0" borderId="0" xfId="3" applyNumberFormat="1" applyFill="1" applyBorder="1" applyAlignment="1">
      <alignment horizontal="left"/>
    </xf>
    <xf numFmtId="169" fontId="12" fillId="0" borderId="0" xfId="3" applyNumberFormat="1" applyFill="1" applyBorder="1" applyAlignment="1">
      <alignment horizontal="left"/>
    </xf>
    <xf numFmtId="0" fontId="1" fillId="0" borderId="9" xfId="1" applyFont="1" applyFill="1" applyBorder="1" applyAlignment="1">
      <alignment horizontal="left" vertical="top" wrapText="1"/>
    </xf>
    <xf numFmtId="0" fontId="1" fillId="0" borderId="0" xfId="1" applyFont="1" applyFill="1" applyBorder="1" applyAlignment="1">
      <alignment horizontal="left" vertical="top" wrapText="1"/>
    </xf>
    <xf numFmtId="0" fontId="1" fillId="0" borderId="10" xfId="1" applyFont="1" applyFill="1" applyBorder="1" applyAlignment="1">
      <alignment horizontal="left" vertical="top" wrapText="1"/>
    </xf>
    <xf numFmtId="177" fontId="1" fillId="0" borderId="0" xfId="1" applyNumberFormat="1" applyFont="1" applyFill="1" applyBorder="1" applyAlignment="1">
      <alignment horizontal="left" vertical="top"/>
    </xf>
    <xf numFmtId="179" fontId="1" fillId="0" borderId="0" xfId="1" applyNumberFormat="1" applyFont="1" applyFill="1" applyBorder="1" applyAlignment="1">
      <alignment horizontal="left" vertical="top"/>
    </xf>
    <xf numFmtId="178" fontId="1" fillId="0" borderId="6" xfId="1" applyNumberFormat="1" applyFont="1" applyFill="1" applyBorder="1" applyAlignment="1">
      <alignment horizontal="left" vertical="top"/>
    </xf>
    <xf numFmtId="179" fontId="1" fillId="2" borderId="0" xfId="1" applyNumberFormat="1" applyFont="1" applyFill="1" applyAlignment="1">
      <alignment horizontal="left" vertical="top"/>
    </xf>
    <xf numFmtId="179" fontId="1" fillId="0" borderId="3" xfId="1" applyNumberFormat="1" applyFont="1" applyFill="1" applyBorder="1" applyAlignment="1">
      <alignment horizontal="left" vertical="top"/>
    </xf>
    <xf numFmtId="179" fontId="1" fillId="0" borderId="12" xfId="1" applyNumberFormat="1" applyFont="1" applyFill="1" applyBorder="1" applyAlignment="1">
      <alignment horizontal="left" vertical="top"/>
    </xf>
    <xf numFmtId="171" fontId="12" fillId="0" borderId="0" xfId="3" applyNumberFormat="1" applyFill="1" applyBorder="1" applyAlignment="1">
      <alignment horizontal="left"/>
    </xf>
    <xf numFmtId="176" fontId="12" fillId="0" borderId="2" xfId="3" applyNumberFormat="1" applyFill="1" applyBorder="1" applyAlignment="1">
      <alignment horizontal="left" vertical="top"/>
    </xf>
    <xf numFmtId="176" fontId="12" fillId="0" borderId="12" xfId="3" applyNumberFormat="1" applyFill="1" applyBorder="1" applyAlignment="1">
      <alignment horizontal="left" vertical="top"/>
    </xf>
    <xf numFmtId="170" fontId="1" fillId="0" borderId="0" xfId="1" applyNumberFormat="1" applyFont="1" applyFill="1" applyBorder="1" applyAlignment="1">
      <alignment horizontal="left" vertical="top"/>
    </xf>
    <xf numFmtId="164" fontId="0" fillId="0" borderId="0" xfId="0" applyNumberFormat="1"/>
    <xf numFmtId="184" fontId="1" fillId="0" borderId="3" xfId="1" applyNumberFormat="1" applyFont="1" applyFill="1" applyBorder="1" applyAlignment="1">
      <alignment horizontal="left"/>
    </xf>
    <xf numFmtId="178" fontId="1" fillId="0" borderId="3" xfId="1" applyNumberFormat="1" applyFont="1" applyFill="1" applyBorder="1" applyAlignment="1">
      <alignment horizontal="left" vertical="top"/>
    </xf>
    <xf numFmtId="178" fontId="1" fillId="0" borderId="12" xfId="1" applyNumberFormat="1" applyFont="1" applyFill="1" applyBorder="1" applyAlignment="1">
      <alignment horizontal="left" vertical="top"/>
    </xf>
    <xf numFmtId="179" fontId="1" fillId="2" borderId="6" xfId="1" applyNumberFormat="1" applyFont="1" applyFill="1" applyBorder="1" applyAlignment="1">
      <alignment horizontal="left" vertical="top"/>
    </xf>
    <xf numFmtId="179" fontId="1" fillId="2" borderId="11" xfId="1" applyNumberFormat="1" applyFont="1" applyFill="1" applyBorder="1" applyAlignment="1">
      <alignment horizontal="left" vertical="top"/>
    </xf>
    <xf numFmtId="178" fontId="1" fillId="2" borderId="6" xfId="1" applyNumberFormat="1" applyFont="1" applyFill="1" applyBorder="1" applyAlignment="1">
      <alignment horizontal="left" vertical="top"/>
    </xf>
    <xf numFmtId="178" fontId="1" fillId="2" borderId="11" xfId="1" applyNumberFormat="1" applyFont="1" applyFill="1" applyBorder="1" applyAlignment="1">
      <alignment horizontal="left" vertical="top"/>
    </xf>
    <xf numFmtId="0" fontId="0" fillId="0" borderId="7" xfId="0" applyBorder="1" applyAlignment="1">
      <alignment horizontal="center"/>
    </xf>
    <xf numFmtId="0" fontId="0" fillId="0" borderId="4" xfId="0" applyBorder="1" applyAlignment="1">
      <alignment horizontal="center"/>
    </xf>
    <xf numFmtId="0" fontId="0" fillId="0" borderId="8" xfId="0" applyBorder="1" applyAlignment="1">
      <alignment horizontal="center"/>
    </xf>
    <xf numFmtId="0" fontId="0" fillId="0" borderId="0" xfId="0" applyAlignment="1">
      <alignment horizontal="center"/>
    </xf>
  </cellXfs>
  <cellStyles count="4">
    <cellStyle name="Datos" xfId="3"/>
    <cellStyle name="Normal" xfId="0" builtinId="0"/>
    <cellStyle name="Normal 2" xfId="1"/>
    <cellStyle name="Normal 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drawings/_rels/vmlDrawing1.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Dropbox/2018-10-04%20-%20Puente%20Matanzas/Memoria%20de%20c&#225;lculo/Espectro%20de%20aceleraciones/Espectro%20de%20aceleraciones%20de%20dise&#241;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PGA"/>
      <sheetName val="Ss"/>
      <sheetName val="S1"/>
      <sheetName val="Chart1"/>
      <sheetName val="Espectro de aceleraciones"/>
      <sheetName val="Output"/>
    </sheetNames>
    <definedNames>
      <definedName name="Fpga" refersTo="='Input'!$C$15" sheetId="0"/>
      <definedName name="Fv" refersTo="='Input'!$C$17" sheetId="0"/>
      <definedName name="PGA" refersTo="='Input'!$C$12" sheetId="0"/>
      <definedName name="S1_" refersTo="='Input'!$C$14" sheetId="0"/>
      <definedName name="SD1_" refersTo="='Input'!$C$20" sheetId="0"/>
    </definedNames>
    <sheetDataSet>
      <sheetData sheetId="0">
        <row r="12">
          <cell r="C12">
            <v>0.35000000000000003</v>
          </cell>
        </row>
        <row r="14">
          <cell r="C14">
            <v>0.4</v>
          </cell>
        </row>
        <row r="15">
          <cell r="C15">
            <v>1.05</v>
          </cell>
        </row>
        <row r="17">
          <cell r="C17">
            <v>1.4</v>
          </cell>
        </row>
        <row r="20">
          <cell r="C20">
            <v>0.55999999999999994</v>
          </cell>
        </row>
      </sheetData>
      <sheetData sheetId="1"/>
      <sheetData sheetId="2"/>
      <sheetData sheetId="3"/>
      <sheetData sheetId="4" refreshError="1"/>
      <sheetData sheetId="5" refreshError="1"/>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1083"/>
  <sheetViews>
    <sheetView tabSelected="1" topLeftCell="A829" workbookViewId="0">
      <selection activeCell="G876" sqref="G876:H876"/>
    </sheetView>
  </sheetViews>
  <sheetFormatPr defaultColWidth="11.44140625" defaultRowHeight="13.2" x14ac:dyDescent="0.25"/>
  <cols>
    <col min="1" max="9" width="9.109375" style="16" customWidth="1"/>
    <col min="10" max="10" width="9.88671875" style="16" customWidth="1"/>
    <col min="11" max="11" width="15.5546875" style="16" customWidth="1"/>
    <col min="12" max="12" width="11.44140625" style="16"/>
    <col min="13" max="13" width="12" style="16" bestFit="1" customWidth="1"/>
    <col min="14" max="16384" width="11.44140625" style="16"/>
  </cols>
  <sheetData>
    <row r="1" spans="1:17" s="1" customFormat="1" x14ac:dyDescent="0.3">
      <c r="A1" s="4">
        <v>1</v>
      </c>
      <c r="B1" s="5" t="s">
        <v>9</v>
      </c>
      <c r="C1" s="5"/>
      <c r="D1" s="6"/>
      <c r="E1" s="6"/>
      <c r="F1" s="6"/>
      <c r="G1" s="6"/>
      <c r="H1" s="6"/>
      <c r="I1" s="6"/>
      <c r="J1" s="6"/>
      <c r="P1" s="2"/>
    </row>
    <row r="2" spans="1:17" s="1" customFormat="1" ht="11.25" customHeight="1" x14ac:dyDescent="0.3">
      <c r="A2" s="7"/>
      <c r="B2" s="7"/>
      <c r="C2" s="6"/>
      <c r="D2" s="8"/>
      <c r="E2" s="8"/>
      <c r="F2" s="8"/>
      <c r="G2" s="8"/>
      <c r="H2" s="6"/>
      <c r="I2" s="6"/>
      <c r="J2" s="6"/>
      <c r="P2" s="2"/>
    </row>
    <row r="3" spans="1:17" s="1" customFormat="1" ht="12.75" customHeight="1" x14ac:dyDescent="0.3">
      <c r="A3" s="9">
        <v>1</v>
      </c>
      <c r="B3" s="5" t="s">
        <v>10</v>
      </c>
      <c r="C3" s="10"/>
      <c r="D3" s="10"/>
      <c r="E3" s="10"/>
      <c r="F3" s="10"/>
      <c r="G3" s="10"/>
      <c r="H3" s="10"/>
      <c r="I3" s="10"/>
      <c r="J3" s="10"/>
    </row>
    <row r="4" spans="1:17" s="1" customFormat="1" x14ac:dyDescent="0.3">
      <c r="A4" s="10"/>
      <c r="B4" s="10"/>
      <c r="C4" s="10"/>
      <c r="D4" s="10"/>
      <c r="E4" s="10"/>
      <c r="F4" s="10"/>
      <c r="G4" s="10"/>
      <c r="H4" s="10"/>
      <c r="I4" s="10"/>
      <c r="J4" s="10"/>
      <c r="Q4" s="11"/>
    </row>
    <row r="5" spans="1:17" s="1" customFormat="1" x14ac:dyDescent="0.3">
      <c r="A5" s="12">
        <v>1</v>
      </c>
      <c r="B5" s="5" t="s">
        <v>11</v>
      </c>
      <c r="C5" s="10"/>
      <c r="D5" s="10"/>
      <c r="E5" s="10"/>
      <c r="F5" s="10"/>
      <c r="G5" s="10"/>
      <c r="H5" s="10"/>
      <c r="I5" s="10"/>
      <c r="J5" s="10"/>
      <c r="Q5" s="11"/>
    </row>
    <row r="6" spans="1:17" s="1" customFormat="1" x14ac:dyDescent="0.3">
      <c r="A6" s="10"/>
      <c r="B6" s="10"/>
      <c r="C6" s="10"/>
      <c r="D6" s="10"/>
      <c r="E6" s="10"/>
      <c r="F6" s="10"/>
      <c r="G6" s="10"/>
      <c r="H6" s="10"/>
      <c r="I6" s="10"/>
      <c r="J6" s="10"/>
      <c r="Q6" s="11"/>
    </row>
    <row r="7" spans="1:17" s="1" customFormat="1" ht="14.4" x14ac:dyDescent="0.3">
      <c r="A7" s="13" t="s">
        <v>12</v>
      </c>
      <c r="B7" s="95" t="s">
        <v>13</v>
      </c>
      <c r="C7" s="96"/>
      <c r="D7" s="96"/>
      <c r="E7" s="246">
        <v>21.1</v>
      </c>
      <c r="F7"/>
      <c r="H7" s="14"/>
      <c r="I7" s="14"/>
      <c r="J7" s="16"/>
    </row>
    <row r="8" spans="1:17" s="1" customFormat="1" ht="14.4" x14ac:dyDescent="0.3">
      <c r="A8" s="13" t="s">
        <v>12</v>
      </c>
      <c r="B8" s="98" t="s">
        <v>14</v>
      </c>
      <c r="C8" s="99"/>
      <c r="D8" s="99"/>
      <c r="E8" s="247">
        <v>28.1</v>
      </c>
      <c r="F8"/>
      <c r="H8" s="14"/>
      <c r="I8" s="14"/>
      <c r="J8" s="16"/>
    </row>
    <row r="9" spans="1:17" s="1" customFormat="1" ht="14.4" x14ac:dyDescent="0.3">
      <c r="A9" s="13" t="s">
        <v>12</v>
      </c>
      <c r="B9" s="101" t="s">
        <v>15</v>
      </c>
      <c r="C9" s="102"/>
      <c r="D9" s="102"/>
      <c r="E9" s="248">
        <v>420</v>
      </c>
      <c r="F9"/>
      <c r="H9" s="14"/>
      <c r="I9" s="14"/>
      <c r="J9" s="16"/>
    </row>
    <row r="10" spans="1:17" s="1" customFormat="1" x14ac:dyDescent="0.3">
      <c r="A10" s="10"/>
      <c r="B10" s="10"/>
      <c r="C10" s="10"/>
      <c r="D10" s="10"/>
      <c r="E10" s="10"/>
      <c r="F10" s="10"/>
      <c r="G10" s="10"/>
      <c r="H10" s="10"/>
      <c r="I10" s="10"/>
      <c r="J10" s="10"/>
    </row>
    <row r="11" spans="1:17" s="1" customFormat="1" x14ac:dyDescent="0.3">
      <c r="A11" s="12">
        <f>A5+1</f>
        <v>2</v>
      </c>
      <c r="B11" s="5" t="s">
        <v>16</v>
      </c>
      <c r="C11" s="10"/>
      <c r="D11" s="10"/>
      <c r="E11" s="10"/>
      <c r="F11" s="10"/>
      <c r="G11" s="10"/>
      <c r="H11" s="10"/>
      <c r="I11" s="10"/>
      <c r="J11" s="10"/>
      <c r="Q11" s="11"/>
    </row>
    <row r="12" spans="1:17" s="1" customFormat="1" x14ac:dyDescent="0.3">
      <c r="A12" s="17"/>
      <c r="B12" s="10"/>
      <c r="C12" s="10"/>
      <c r="D12" s="10"/>
      <c r="E12" s="10"/>
      <c r="F12" s="10"/>
      <c r="G12" s="10"/>
      <c r="H12" s="10"/>
      <c r="I12" s="10"/>
      <c r="J12" s="10"/>
    </row>
    <row r="13" spans="1:17" x14ac:dyDescent="0.25">
      <c r="A13" s="13" t="s">
        <v>12</v>
      </c>
      <c r="B13" s="104" t="s">
        <v>616</v>
      </c>
      <c r="C13" s="75"/>
      <c r="D13" s="75"/>
      <c r="E13" s="75"/>
      <c r="F13" s="75"/>
      <c r="G13" s="249" t="s">
        <v>617</v>
      </c>
      <c r="H13" s="75"/>
      <c r="I13" s="105"/>
      <c r="J13" s="18"/>
    </row>
    <row r="14" spans="1:17" s="1" customFormat="1" x14ac:dyDescent="0.25">
      <c r="A14" s="13" t="s">
        <v>12</v>
      </c>
      <c r="B14" s="98" t="s">
        <v>17</v>
      </c>
      <c r="C14" s="99"/>
      <c r="D14" s="99"/>
      <c r="E14" s="99"/>
      <c r="F14" s="100"/>
      <c r="G14" s="395">
        <v>19.61</v>
      </c>
      <c r="H14" s="395"/>
      <c r="I14" s="106"/>
      <c r="J14" s="16"/>
    </row>
    <row r="15" spans="1:17" s="1" customFormat="1" ht="15.6" x14ac:dyDescent="0.35">
      <c r="A15" s="13" t="s">
        <v>12</v>
      </c>
      <c r="B15" s="98" t="s">
        <v>18</v>
      </c>
      <c r="C15" s="99"/>
      <c r="D15" s="99"/>
      <c r="E15" s="99"/>
      <c r="F15" s="100"/>
      <c r="G15" s="396">
        <v>1</v>
      </c>
      <c r="H15" s="396"/>
      <c r="I15" s="106"/>
      <c r="J15" s="16"/>
    </row>
    <row r="16" spans="1:17" s="1" customFormat="1" x14ac:dyDescent="0.25">
      <c r="A16" s="13" t="s">
        <v>12</v>
      </c>
      <c r="B16" s="98" t="s">
        <v>19</v>
      </c>
      <c r="C16" s="99"/>
      <c r="D16" s="99"/>
      <c r="E16" s="99"/>
      <c r="F16" s="100"/>
      <c r="G16" s="406">
        <v>30</v>
      </c>
      <c r="H16" s="406"/>
      <c r="I16" s="106"/>
      <c r="J16" s="16"/>
    </row>
    <row r="17" spans="1:10" s="1" customFormat="1" x14ac:dyDescent="0.25">
      <c r="A17" s="13" t="s">
        <v>12</v>
      </c>
      <c r="B17" s="101" t="s">
        <v>20</v>
      </c>
      <c r="C17" s="102"/>
      <c r="D17" s="102"/>
      <c r="E17" s="102"/>
      <c r="F17" s="103"/>
      <c r="G17" s="389" t="s">
        <v>21</v>
      </c>
      <c r="H17" s="389"/>
      <c r="I17" s="390"/>
      <c r="J17" s="16"/>
    </row>
    <row r="18" spans="1:10" s="1" customFormat="1" x14ac:dyDescent="0.25">
      <c r="A18" s="13" t="s">
        <v>12</v>
      </c>
      <c r="B18" s="14" t="s">
        <v>22</v>
      </c>
      <c r="C18" s="14"/>
      <c r="D18" s="14"/>
      <c r="E18" s="14"/>
      <c r="F18" s="15"/>
      <c r="G18" s="20"/>
      <c r="H18" s="20"/>
      <c r="I18" s="14"/>
      <c r="J18" s="16"/>
    </row>
    <row r="19" spans="1:10" s="1" customFormat="1" x14ac:dyDescent="0.25">
      <c r="A19" s="13" t="s">
        <v>12</v>
      </c>
      <c r="B19" s="95" t="s">
        <v>23</v>
      </c>
      <c r="C19" s="109"/>
      <c r="D19" s="96"/>
      <c r="E19" s="96"/>
      <c r="F19" s="97"/>
      <c r="G19" s="110" t="s">
        <v>24</v>
      </c>
      <c r="H19" s="110"/>
      <c r="I19" s="111"/>
      <c r="J19" s="16"/>
    </row>
    <row r="20" spans="1:10" s="1" customFormat="1" ht="15.6" x14ac:dyDescent="0.35">
      <c r="A20" s="13"/>
      <c r="B20" s="98" t="s">
        <v>25</v>
      </c>
      <c r="C20" s="99"/>
      <c r="D20" s="99"/>
      <c r="E20" s="99"/>
      <c r="F20" s="100"/>
      <c r="G20" s="112"/>
      <c r="H20" s="112"/>
      <c r="I20" s="106"/>
      <c r="J20" s="16"/>
    </row>
    <row r="21" spans="1:10" s="1" customFormat="1" ht="15.6" x14ac:dyDescent="0.35">
      <c r="A21" s="13"/>
      <c r="B21" s="98" t="s">
        <v>26</v>
      </c>
      <c r="C21" s="99"/>
      <c r="D21" s="99"/>
      <c r="E21" s="99"/>
      <c r="F21" s="100"/>
      <c r="G21" s="112" t="s">
        <v>27</v>
      </c>
      <c r="H21" s="112"/>
      <c r="I21" s="106"/>
      <c r="J21" s="16"/>
    </row>
    <row r="22" spans="1:10" s="1" customFormat="1" ht="15" x14ac:dyDescent="0.35">
      <c r="A22" s="13"/>
      <c r="B22" s="113" t="s">
        <v>28</v>
      </c>
      <c r="C22" s="99"/>
      <c r="D22" s="99"/>
      <c r="E22" s="99"/>
      <c r="F22" s="100"/>
      <c r="G22" s="112" t="s">
        <v>29</v>
      </c>
      <c r="H22" s="112"/>
      <c r="I22" s="106"/>
      <c r="J22" s="16"/>
    </row>
    <row r="23" spans="1:10" s="1" customFormat="1" ht="26.25" customHeight="1" x14ac:dyDescent="0.25">
      <c r="A23" s="13"/>
      <c r="B23" s="309" t="s">
        <v>619</v>
      </c>
      <c r="C23" s="310"/>
      <c r="D23" s="310"/>
      <c r="E23" s="310"/>
      <c r="F23" s="310"/>
      <c r="G23" s="310"/>
      <c r="H23" s="310"/>
      <c r="I23" s="311"/>
      <c r="J23" s="16"/>
    </row>
    <row r="24" spans="1:10" s="1" customFormat="1" ht="15" x14ac:dyDescent="0.35">
      <c r="A24" s="13"/>
      <c r="B24" s="113" t="s">
        <v>30</v>
      </c>
      <c r="C24" s="99"/>
      <c r="D24" s="99"/>
      <c r="E24" s="99"/>
      <c r="F24" s="100"/>
      <c r="G24" s="250">
        <v>0.45</v>
      </c>
      <c r="H24" s="112" t="s">
        <v>31</v>
      </c>
      <c r="I24" s="106"/>
      <c r="J24" s="16"/>
    </row>
    <row r="25" spans="1:10" s="1" customFormat="1" ht="15.6" x14ac:dyDescent="0.35">
      <c r="A25" s="13"/>
      <c r="B25" s="98" t="s">
        <v>26</v>
      </c>
      <c r="C25" s="99"/>
      <c r="D25" s="99"/>
      <c r="E25" s="99"/>
      <c r="F25" s="100"/>
      <c r="G25" s="114">
        <f>φb*qn</f>
        <v>0.45</v>
      </c>
      <c r="H25" s="112" t="s">
        <v>31</v>
      </c>
      <c r="I25" s="106"/>
      <c r="J25" s="16"/>
    </row>
    <row r="26" spans="1:10" s="1" customFormat="1" x14ac:dyDescent="0.25">
      <c r="A26" s="13" t="s">
        <v>12</v>
      </c>
      <c r="B26" s="98" t="s">
        <v>32</v>
      </c>
      <c r="C26" s="99"/>
      <c r="D26" s="99"/>
      <c r="E26" s="100"/>
      <c r="F26" s="114"/>
      <c r="G26" s="112"/>
      <c r="H26" s="99"/>
      <c r="I26" s="115"/>
    </row>
    <row r="27" spans="1:10" s="1" customFormat="1" ht="12.75" customHeight="1" x14ac:dyDescent="0.25">
      <c r="A27" s="13"/>
      <c r="B27" s="397" t="s">
        <v>33</v>
      </c>
      <c r="C27" s="398"/>
      <c r="D27" s="398"/>
      <c r="E27" s="398"/>
      <c r="F27" s="398"/>
      <c r="G27" s="398"/>
      <c r="H27" s="398"/>
      <c r="I27" s="399"/>
    </row>
    <row r="28" spans="1:10" s="1" customFormat="1" x14ac:dyDescent="0.25">
      <c r="A28" s="13"/>
      <c r="B28" s="397"/>
      <c r="C28" s="398"/>
      <c r="D28" s="398"/>
      <c r="E28" s="398"/>
      <c r="F28" s="398"/>
      <c r="G28" s="398"/>
      <c r="H28" s="398"/>
      <c r="I28" s="399"/>
    </row>
    <row r="29" spans="1:10" s="1" customFormat="1" x14ac:dyDescent="0.25">
      <c r="A29" s="13"/>
      <c r="B29" s="397"/>
      <c r="C29" s="398"/>
      <c r="D29" s="398"/>
      <c r="E29" s="398"/>
      <c r="F29" s="398"/>
      <c r="G29" s="398"/>
      <c r="H29" s="398"/>
      <c r="I29" s="399"/>
    </row>
    <row r="30" spans="1:10" s="1" customFormat="1" x14ac:dyDescent="0.25">
      <c r="A30" s="13"/>
      <c r="B30" s="397"/>
      <c r="C30" s="398"/>
      <c r="D30" s="398"/>
      <c r="E30" s="398"/>
      <c r="F30" s="398"/>
      <c r="G30" s="398"/>
      <c r="H30" s="398"/>
      <c r="I30" s="399"/>
    </row>
    <row r="31" spans="1:10" s="1" customFormat="1" x14ac:dyDescent="0.25">
      <c r="A31" s="13"/>
      <c r="B31" s="397"/>
      <c r="C31" s="398"/>
      <c r="D31" s="398"/>
      <c r="E31" s="398"/>
      <c r="F31" s="398"/>
      <c r="G31" s="398"/>
      <c r="H31" s="398"/>
      <c r="I31" s="399"/>
    </row>
    <row r="32" spans="1:10" s="1" customFormat="1" ht="13.8" x14ac:dyDescent="0.3">
      <c r="A32" s="13"/>
      <c r="B32" s="113" t="s">
        <v>34</v>
      </c>
      <c r="C32" s="116"/>
      <c r="D32" s="99"/>
      <c r="E32" s="99"/>
      <c r="F32" s="100"/>
      <c r="G32" s="250">
        <v>0.65</v>
      </c>
      <c r="H32" s="112"/>
      <c r="I32" s="106"/>
      <c r="J32" s="16"/>
    </row>
    <row r="33" spans="1:17" s="1" customFormat="1" ht="15.6" x14ac:dyDescent="0.35">
      <c r="A33" s="13"/>
      <c r="B33" s="98" t="s">
        <v>26</v>
      </c>
      <c r="C33" s="116"/>
      <c r="D33" s="99"/>
      <c r="E33" s="99"/>
      <c r="F33" s="100"/>
      <c r="G33" s="114">
        <f>φ1*qn</f>
        <v>0.65</v>
      </c>
      <c r="H33" s="112"/>
      <c r="I33" s="106"/>
      <c r="J33" s="16"/>
    </row>
    <row r="34" spans="1:17" s="1" customFormat="1" x14ac:dyDescent="0.25">
      <c r="A34" s="13" t="s">
        <v>12</v>
      </c>
      <c r="B34" s="98" t="s">
        <v>35</v>
      </c>
      <c r="C34" s="99"/>
      <c r="D34" s="99"/>
      <c r="E34" s="100"/>
      <c r="F34" s="114"/>
      <c r="G34" s="112"/>
      <c r="H34" s="99"/>
      <c r="I34" s="115"/>
    </row>
    <row r="35" spans="1:17" s="1" customFormat="1" ht="14.25" customHeight="1" x14ac:dyDescent="0.3">
      <c r="B35" s="397" t="s">
        <v>36</v>
      </c>
      <c r="C35" s="398"/>
      <c r="D35" s="398"/>
      <c r="E35" s="398"/>
      <c r="F35" s="398"/>
      <c r="G35" s="398"/>
      <c r="H35" s="398"/>
      <c r="I35" s="399"/>
    </row>
    <row r="36" spans="1:17" s="1" customFormat="1" x14ac:dyDescent="0.3">
      <c r="B36" s="397"/>
      <c r="C36" s="398"/>
      <c r="D36" s="398"/>
      <c r="E36" s="398"/>
      <c r="F36" s="398"/>
      <c r="G36" s="398"/>
      <c r="H36" s="398"/>
      <c r="I36" s="399"/>
    </row>
    <row r="37" spans="1:17" s="1" customFormat="1" x14ac:dyDescent="0.3">
      <c r="B37" s="397"/>
      <c r="C37" s="398"/>
      <c r="D37" s="398"/>
      <c r="E37" s="398"/>
      <c r="F37" s="398"/>
      <c r="G37" s="398"/>
      <c r="H37" s="398"/>
      <c r="I37" s="399"/>
    </row>
    <row r="38" spans="1:17" s="1" customFormat="1" x14ac:dyDescent="0.3">
      <c r="B38" s="397"/>
      <c r="C38" s="398"/>
      <c r="D38" s="398"/>
      <c r="E38" s="398"/>
      <c r="F38" s="398"/>
      <c r="G38" s="398"/>
      <c r="H38" s="398"/>
      <c r="I38" s="399"/>
    </row>
    <row r="39" spans="1:17" s="1" customFormat="1" x14ac:dyDescent="0.3">
      <c r="B39" s="397"/>
      <c r="C39" s="398"/>
      <c r="D39" s="398"/>
      <c r="E39" s="398"/>
      <c r="F39" s="398"/>
      <c r="G39" s="398"/>
      <c r="H39" s="398"/>
      <c r="I39" s="399"/>
    </row>
    <row r="40" spans="1:17" s="1" customFormat="1" x14ac:dyDescent="0.3">
      <c r="B40" s="397"/>
      <c r="C40" s="398"/>
      <c r="D40" s="398"/>
      <c r="E40" s="398"/>
      <c r="F40" s="398"/>
      <c r="G40" s="398"/>
      <c r="H40" s="398"/>
      <c r="I40" s="399"/>
    </row>
    <row r="41" spans="1:17" s="1" customFormat="1" x14ac:dyDescent="0.3">
      <c r="B41" s="397"/>
      <c r="C41" s="398"/>
      <c r="D41" s="398"/>
      <c r="E41" s="398"/>
      <c r="F41" s="398"/>
      <c r="G41" s="398"/>
      <c r="H41" s="398"/>
      <c r="I41" s="399"/>
    </row>
    <row r="42" spans="1:17" s="1" customFormat="1" ht="13.8" x14ac:dyDescent="0.3">
      <c r="A42" s="13"/>
      <c r="B42" s="113" t="s">
        <v>34</v>
      </c>
      <c r="C42" s="116"/>
      <c r="D42" s="99"/>
      <c r="E42" s="99"/>
      <c r="F42" s="100"/>
      <c r="G42" s="251">
        <v>0.8</v>
      </c>
      <c r="H42" s="117"/>
      <c r="I42" s="118"/>
      <c r="J42" s="22"/>
    </row>
    <row r="43" spans="1:17" s="1" customFormat="1" ht="15.6" x14ac:dyDescent="0.35">
      <c r="A43" s="13"/>
      <c r="B43" s="101" t="s">
        <v>26</v>
      </c>
      <c r="C43" s="119"/>
      <c r="D43" s="102"/>
      <c r="E43" s="102"/>
      <c r="F43" s="103"/>
      <c r="G43" s="120">
        <f>φ2*qn</f>
        <v>0.8</v>
      </c>
      <c r="H43" s="107"/>
      <c r="I43" s="108"/>
      <c r="J43" s="16"/>
    </row>
    <row r="44" spans="1:17" s="1" customFormat="1" x14ac:dyDescent="0.25">
      <c r="A44" s="13"/>
      <c r="C44" s="14"/>
      <c r="D44" s="14"/>
      <c r="E44" s="14"/>
      <c r="F44" s="15"/>
      <c r="G44" s="21"/>
      <c r="H44" s="20"/>
      <c r="I44" s="14"/>
      <c r="J44" s="16"/>
    </row>
    <row r="45" spans="1:17" s="1" customFormat="1" x14ac:dyDescent="0.3">
      <c r="A45" s="12">
        <f>A11+1</f>
        <v>3</v>
      </c>
      <c r="B45" s="5" t="s">
        <v>37</v>
      </c>
      <c r="C45" s="10"/>
      <c r="D45" s="10"/>
      <c r="E45" s="10"/>
      <c r="F45" s="10"/>
      <c r="G45" s="10"/>
      <c r="H45" s="10"/>
      <c r="I45" s="10"/>
      <c r="J45" s="10"/>
      <c r="Q45" s="11"/>
    </row>
    <row r="46" spans="1:17" s="1" customFormat="1" x14ac:dyDescent="0.3">
      <c r="A46" s="12"/>
      <c r="B46" s="5"/>
      <c r="C46" s="10"/>
      <c r="D46" s="10"/>
      <c r="E46" s="10"/>
      <c r="F46" s="10"/>
      <c r="G46" s="10"/>
      <c r="H46" s="10"/>
      <c r="I46" s="10"/>
      <c r="J46" s="10"/>
      <c r="Q46" s="11"/>
    </row>
    <row r="47" spans="1:17" s="1" customFormat="1" x14ac:dyDescent="0.25">
      <c r="A47" s="13" t="s">
        <v>12</v>
      </c>
      <c r="B47" s="95" t="s">
        <v>38</v>
      </c>
      <c r="C47" s="96"/>
      <c r="D47" s="96"/>
      <c r="E47" s="96"/>
      <c r="F47" s="97"/>
      <c r="G47" s="252" t="s">
        <v>620</v>
      </c>
      <c r="H47" s="121"/>
      <c r="I47" s="122"/>
      <c r="J47" s="10"/>
      <c r="Q47" s="11"/>
    </row>
    <row r="48" spans="1:17" s="1" customFormat="1" x14ac:dyDescent="0.25">
      <c r="A48" s="13" t="s">
        <v>12</v>
      </c>
      <c r="B48" s="98" t="s">
        <v>39</v>
      </c>
      <c r="C48" s="99"/>
      <c r="D48" s="99"/>
      <c r="E48" s="99"/>
      <c r="F48" s="100"/>
      <c r="G48" s="253">
        <f>[1]Input!PGA</f>
        <v>0.35000000000000003</v>
      </c>
      <c r="H48" s="124" t="s">
        <v>40</v>
      </c>
      <c r="I48" s="125"/>
      <c r="J48" s="10"/>
      <c r="Q48" s="11"/>
    </row>
    <row r="49" spans="1:18" s="1" customFormat="1" ht="15.6" x14ac:dyDescent="0.35">
      <c r="A49" s="13" t="s">
        <v>12</v>
      </c>
      <c r="B49" s="98" t="s">
        <v>41</v>
      </c>
      <c r="C49" s="99"/>
      <c r="D49" s="99"/>
      <c r="E49" s="99"/>
      <c r="F49" s="100"/>
      <c r="G49" s="253">
        <f>[1]Input!S1_</f>
        <v>0.4</v>
      </c>
      <c r="H49" s="124" t="s">
        <v>42</v>
      </c>
      <c r="I49" s="125"/>
      <c r="J49" s="10"/>
      <c r="Q49" s="11"/>
    </row>
    <row r="50" spans="1:18" s="1" customFormat="1" x14ac:dyDescent="0.25">
      <c r="A50" s="13" t="s">
        <v>12</v>
      </c>
      <c r="B50" s="98" t="s">
        <v>43</v>
      </c>
      <c r="C50" s="99"/>
      <c r="D50" s="99"/>
      <c r="E50" s="99"/>
      <c r="F50" s="100"/>
      <c r="G50" s="123" t="str">
        <f>RIGHT(LEFT(G17,6),1)</f>
        <v>C</v>
      </c>
      <c r="H50" s="124" t="s">
        <v>44</v>
      </c>
      <c r="I50" s="125"/>
      <c r="J50" s="10"/>
      <c r="Q50" s="11"/>
    </row>
    <row r="51" spans="1:18" s="1" customFormat="1" x14ac:dyDescent="0.25">
      <c r="A51" s="13" t="s">
        <v>12</v>
      </c>
      <c r="B51" s="98" t="s">
        <v>45</v>
      </c>
      <c r="C51" s="99"/>
      <c r="D51" s="99"/>
      <c r="E51" s="99"/>
      <c r="F51" s="100"/>
      <c r="G51" s="253" t="s">
        <v>46</v>
      </c>
      <c r="H51" s="124" t="s">
        <v>47</v>
      </c>
      <c r="I51" s="125"/>
      <c r="J51" s="10"/>
      <c r="Q51" s="11"/>
    </row>
    <row r="52" spans="1:18" s="1" customFormat="1" x14ac:dyDescent="0.25">
      <c r="A52" s="13" t="s">
        <v>12</v>
      </c>
      <c r="B52" s="98" t="s">
        <v>48</v>
      </c>
      <c r="C52" s="99"/>
      <c r="D52" s="99"/>
      <c r="E52" s="99"/>
      <c r="F52" s="100"/>
      <c r="G52" s="123"/>
      <c r="H52" s="124" t="s">
        <v>49</v>
      </c>
      <c r="I52" s="125"/>
      <c r="J52" s="10"/>
      <c r="Q52" s="11"/>
    </row>
    <row r="53" spans="1:18" s="1" customFormat="1" ht="15.6" x14ac:dyDescent="0.35">
      <c r="A53" s="13"/>
      <c r="B53" s="98" t="s">
        <v>50</v>
      </c>
      <c r="C53" s="99"/>
      <c r="D53" s="99"/>
      <c r="E53" s="99"/>
      <c r="F53" s="100"/>
      <c r="G53" s="253">
        <f>[1]Input!Fv</f>
        <v>1.4</v>
      </c>
      <c r="H53" s="124" t="s">
        <v>51</v>
      </c>
      <c r="I53" s="125"/>
      <c r="J53" s="10"/>
      <c r="Q53" s="11"/>
    </row>
    <row r="54" spans="1:18" s="1" customFormat="1" ht="15.6" x14ac:dyDescent="0.35">
      <c r="A54" s="13"/>
      <c r="B54" s="98" t="s">
        <v>52</v>
      </c>
      <c r="C54" s="99"/>
      <c r="D54" s="99"/>
      <c r="E54" s="99"/>
      <c r="F54" s="100"/>
      <c r="G54" s="253">
        <f>[1]Input!SD1_</f>
        <v>0.55999999999999994</v>
      </c>
      <c r="H54" s="112" t="s">
        <v>53</v>
      </c>
      <c r="I54" s="106"/>
      <c r="J54" s="16"/>
      <c r="R54" s="1">
        <f>4.2*0.15</f>
        <v>0.63</v>
      </c>
    </row>
    <row r="55" spans="1:18" s="1" customFormat="1" x14ac:dyDescent="0.25">
      <c r="A55" s="13"/>
      <c r="B55" s="101" t="s">
        <v>48</v>
      </c>
      <c r="C55" s="102"/>
      <c r="D55" s="102"/>
      <c r="E55" s="102"/>
      <c r="F55" s="103"/>
      <c r="G55" s="254" t="s">
        <v>618</v>
      </c>
      <c r="H55" s="126" t="s">
        <v>54</v>
      </c>
      <c r="I55" s="127"/>
      <c r="J55" s="10"/>
      <c r="Q55" s="11"/>
    </row>
    <row r="56" spans="1:18" s="1" customFormat="1" x14ac:dyDescent="0.25">
      <c r="A56" s="13"/>
      <c r="B56" s="14"/>
      <c r="C56" s="14"/>
      <c r="D56" s="14"/>
      <c r="E56" s="14"/>
      <c r="F56" s="15"/>
      <c r="G56" s="23"/>
      <c r="H56" s="18"/>
      <c r="I56" s="10"/>
      <c r="J56" s="10"/>
      <c r="Q56" s="11"/>
    </row>
    <row r="57" spans="1:18" s="1" customFormat="1" ht="12.75" customHeight="1" x14ac:dyDescent="0.3">
      <c r="A57" s="9">
        <f>A3+1</f>
        <v>2</v>
      </c>
      <c r="B57" s="5" t="s">
        <v>55</v>
      </c>
      <c r="C57" s="10"/>
      <c r="D57" s="10"/>
      <c r="E57" s="10"/>
      <c r="F57" s="10"/>
      <c r="G57" s="10"/>
      <c r="H57" s="10"/>
      <c r="I57" s="10"/>
      <c r="J57" s="10"/>
    </row>
    <row r="58" spans="1:18" s="1" customFormat="1" ht="13.8" x14ac:dyDescent="0.3">
      <c r="A58" s="13"/>
      <c r="B58" s="14" t="s">
        <v>56</v>
      </c>
      <c r="C58" s="14"/>
      <c r="D58" s="14"/>
      <c r="E58" s="14"/>
      <c r="F58" s="15"/>
      <c r="G58" s="23"/>
      <c r="H58" s="18"/>
      <c r="I58" s="10"/>
      <c r="J58" s="10"/>
      <c r="Q58" s="11"/>
    </row>
    <row r="59" spans="1:18" s="1" customFormat="1" x14ac:dyDescent="0.25">
      <c r="A59" s="13"/>
      <c r="B59" s="14"/>
      <c r="C59" s="14"/>
      <c r="D59" s="14"/>
      <c r="E59" s="14"/>
      <c r="F59" s="15"/>
      <c r="G59" s="23"/>
      <c r="H59" s="18"/>
      <c r="I59" s="10"/>
      <c r="J59" s="10"/>
      <c r="Q59" s="11"/>
    </row>
    <row r="60" spans="1:18" s="1" customFormat="1" x14ac:dyDescent="0.25">
      <c r="A60" s="13"/>
      <c r="B60" s="257" t="s">
        <v>57</v>
      </c>
      <c r="C60" s="96"/>
      <c r="D60" s="96"/>
      <c r="E60" s="96"/>
      <c r="F60" s="97"/>
      <c r="G60" s="128"/>
      <c r="H60" s="18"/>
      <c r="I60" s="10"/>
      <c r="J60" s="10"/>
      <c r="Q60" s="11"/>
    </row>
    <row r="61" spans="1:18" s="1" customFormat="1" x14ac:dyDescent="0.25">
      <c r="A61" s="13" t="s">
        <v>12</v>
      </c>
      <c r="B61" s="98" t="s">
        <v>58</v>
      </c>
      <c r="C61" s="99"/>
      <c r="D61" s="99"/>
      <c r="E61" s="99"/>
      <c r="F61" s="100"/>
      <c r="G61" s="256">
        <v>3</v>
      </c>
      <c r="H61" s="18"/>
      <c r="I61" s="10"/>
      <c r="J61" s="10"/>
      <c r="Q61" s="11"/>
    </row>
    <row r="62" spans="1:18" s="1" customFormat="1" x14ac:dyDescent="0.25">
      <c r="A62" s="13" t="s">
        <v>12</v>
      </c>
      <c r="B62" s="98" t="s">
        <v>59</v>
      </c>
      <c r="C62" s="99"/>
      <c r="D62" s="99"/>
      <c r="E62" s="99"/>
      <c r="F62" s="100"/>
      <c r="G62" s="256">
        <v>3</v>
      </c>
      <c r="H62" s="18"/>
      <c r="I62" s="10"/>
      <c r="J62" s="10"/>
      <c r="Q62" s="11"/>
    </row>
    <row r="63" spans="1:18" s="1" customFormat="1" x14ac:dyDescent="0.25">
      <c r="A63" s="13" t="s">
        <v>12</v>
      </c>
      <c r="B63" s="98" t="s">
        <v>60</v>
      </c>
      <c r="C63" s="99"/>
      <c r="D63" s="99"/>
      <c r="E63" s="99"/>
      <c r="F63" s="100"/>
      <c r="G63" s="256">
        <v>2.6</v>
      </c>
      <c r="H63" s="18"/>
      <c r="I63" s="10"/>
      <c r="J63" s="10"/>
      <c r="Q63" s="11"/>
    </row>
    <row r="64" spans="1:18" s="1" customFormat="1" x14ac:dyDescent="0.25">
      <c r="A64" s="13"/>
      <c r="B64" s="98"/>
      <c r="C64" s="99"/>
      <c r="D64" s="99"/>
      <c r="E64" s="99"/>
      <c r="F64" s="100"/>
      <c r="G64" s="129"/>
      <c r="H64" s="18"/>
      <c r="I64" s="10"/>
      <c r="J64" s="10"/>
      <c r="Q64" s="11"/>
    </row>
    <row r="65" spans="1:17" s="1" customFormat="1" x14ac:dyDescent="0.25">
      <c r="A65" s="13"/>
      <c r="B65" s="258" t="s">
        <v>61</v>
      </c>
      <c r="C65" s="99"/>
      <c r="D65" s="99"/>
      <c r="E65" s="99"/>
      <c r="F65" s="100"/>
      <c r="G65" s="129"/>
      <c r="H65" s="18"/>
      <c r="I65" s="10"/>
      <c r="J65" s="10"/>
      <c r="Q65" s="11"/>
    </row>
    <row r="66" spans="1:17" s="1" customFormat="1" x14ac:dyDescent="0.25">
      <c r="A66" s="13"/>
      <c r="B66" s="98"/>
      <c r="C66" s="99"/>
      <c r="D66" s="99"/>
      <c r="E66" s="99"/>
      <c r="F66" s="100"/>
      <c r="G66" s="130"/>
      <c r="H66" s="18"/>
      <c r="I66" s="10"/>
      <c r="J66" s="10"/>
      <c r="Q66" s="11"/>
    </row>
    <row r="67" spans="1:17" s="1" customFormat="1" x14ac:dyDescent="0.25">
      <c r="A67" s="13" t="s">
        <v>12</v>
      </c>
      <c r="B67" s="98" t="s">
        <v>58</v>
      </c>
      <c r="C67" s="99"/>
      <c r="D67" s="99"/>
      <c r="E67" s="99"/>
      <c r="F67" s="100"/>
      <c r="G67" s="256">
        <v>1.1499999999999999</v>
      </c>
      <c r="H67" s="18"/>
      <c r="I67" s="10"/>
      <c r="J67" s="10"/>
      <c r="Q67" s="11"/>
    </row>
    <row r="68" spans="1:17" s="1" customFormat="1" x14ac:dyDescent="0.25">
      <c r="A68" s="13" t="s">
        <v>12</v>
      </c>
      <c r="B68" s="98" t="s">
        <v>62</v>
      </c>
      <c r="C68" s="99"/>
      <c r="D68" s="99"/>
      <c r="E68" s="99"/>
      <c r="F68" s="100"/>
      <c r="G68" s="256">
        <v>0.5</v>
      </c>
      <c r="H68" s="18"/>
      <c r="I68" s="10"/>
      <c r="J68" s="10"/>
      <c r="Q68" s="11"/>
    </row>
    <row r="69" spans="1:17" s="1" customFormat="1" x14ac:dyDescent="0.25">
      <c r="A69" s="13"/>
      <c r="B69" s="98"/>
      <c r="C69" s="99"/>
      <c r="D69" s="99"/>
      <c r="E69" s="99"/>
      <c r="F69" s="100"/>
      <c r="G69" s="129"/>
      <c r="H69" s="18"/>
      <c r="I69" s="10"/>
      <c r="J69" s="10"/>
      <c r="Q69" s="11"/>
    </row>
    <row r="70" spans="1:17" s="1" customFormat="1" x14ac:dyDescent="0.25">
      <c r="A70" s="13"/>
      <c r="B70" s="258" t="s">
        <v>63</v>
      </c>
      <c r="C70" s="99"/>
      <c r="D70" s="99"/>
      <c r="E70" s="99"/>
      <c r="F70" s="100"/>
      <c r="G70" s="129"/>
      <c r="H70" s="18"/>
      <c r="I70" s="10"/>
      <c r="J70" s="10"/>
      <c r="Q70" s="11"/>
    </row>
    <row r="71" spans="1:17" s="1" customFormat="1" x14ac:dyDescent="0.25">
      <c r="A71" s="13"/>
      <c r="B71" s="98"/>
      <c r="C71" s="99"/>
      <c r="D71" s="99"/>
      <c r="E71" s="99"/>
      <c r="F71" s="100"/>
      <c r="G71" s="129"/>
      <c r="H71" s="18"/>
      <c r="I71" s="10"/>
      <c r="J71" s="10"/>
      <c r="Q71" s="11"/>
    </row>
    <row r="72" spans="1:17" s="1" customFormat="1" x14ac:dyDescent="0.25">
      <c r="A72" s="13" t="s">
        <v>12</v>
      </c>
      <c r="B72" s="98" t="s">
        <v>60</v>
      </c>
      <c r="C72" s="99"/>
      <c r="D72" s="99"/>
      <c r="E72" s="99"/>
      <c r="F72" s="100"/>
      <c r="G72" s="256">
        <v>1.5</v>
      </c>
      <c r="H72" s="18"/>
      <c r="I72" s="10"/>
      <c r="J72" s="10"/>
      <c r="Q72" s="11"/>
    </row>
    <row r="73" spans="1:17" s="1" customFormat="1" x14ac:dyDescent="0.25">
      <c r="A73" s="13" t="s">
        <v>12</v>
      </c>
      <c r="B73" s="98" t="s">
        <v>58</v>
      </c>
      <c r="C73" s="99"/>
      <c r="D73" s="99"/>
      <c r="E73" s="99"/>
      <c r="F73" s="100"/>
      <c r="G73" s="256">
        <v>0.5</v>
      </c>
      <c r="H73" s="18"/>
      <c r="I73" s="10"/>
      <c r="J73" s="10"/>
      <c r="Q73" s="11"/>
    </row>
    <row r="74" spans="1:17" s="1" customFormat="1" x14ac:dyDescent="0.25">
      <c r="A74" s="13"/>
      <c r="B74" s="98"/>
      <c r="C74" s="99"/>
      <c r="D74" s="99"/>
      <c r="E74" s="99"/>
      <c r="F74" s="100"/>
      <c r="G74" s="129"/>
      <c r="H74" s="18"/>
      <c r="I74" s="10"/>
      <c r="J74" s="10"/>
      <c r="Q74" s="11"/>
    </row>
    <row r="75" spans="1:17" s="1" customFormat="1" x14ac:dyDescent="0.25">
      <c r="A75" s="13"/>
      <c r="B75" s="258" t="s">
        <v>64</v>
      </c>
      <c r="C75" s="99"/>
      <c r="D75" s="99"/>
      <c r="E75" s="99"/>
      <c r="F75" s="100"/>
      <c r="G75" s="129"/>
      <c r="H75" s="18"/>
      <c r="I75" s="10"/>
      <c r="J75" s="10"/>
      <c r="Q75" s="11"/>
    </row>
    <row r="76" spans="1:17" s="1" customFormat="1" x14ac:dyDescent="0.25">
      <c r="A76" s="13"/>
      <c r="B76" s="98"/>
      <c r="C76" s="99"/>
      <c r="D76" s="99"/>
      <c r="E76" s="99"/>
      <c r="F76" s="100"/>
      <c r="G76" s="129"/>
      <c r="H76" s="18"/>
      <c r="I76" s="10"/>
      <c r="J76" s="10"/>
      <c r="Q76" s="11"/>
    </row>
    <row r="77" spans="1:17" s="1" customFormat="1" x14ac:dyDescent="0.25">
      <c r="A77" s="13" t="s">
        <v>12</v>
      </c>
      <c r="B77" s="98" t="s">
        <v>60</v>
      </c>
      <c r="C77" s="99"/>
      <c r="D77" s="99"/>
      <c r="E77" s="99"/>
      <c r="F77" s="100"/>
      <c r="G77" s="256">
        <v>1.1000000000000001</v>
      </c>
      <c r="H77" s="18"/>
      <c r="I77" s="10"/>
      <c r="J77" s="10"/>
      <c r="Q77" s="11"/>
    </row>
    <row r="78" spans="1:17" s="1" customFormat="1" x14ac:dyDescent="0.25">
      <c r="A78" s="13" t="s">
        <v>12</v>
      </c>
      <c r="B78" s="98" t="s">
        <v>58</v>
      </c>
      <c r="C78" s="99"/>
      <c r="D78" s="99"/>
      <c r="E78" s="99"/>
      <c r="F78" s="100"/>
      <c r="G78" s="256">
        <v>0.5</v>
      </c>
      <c r="H78" s="18"/>
      <c r="I78" s="10"/>
      <c r="J78" s="10"/>
      <c r="Q78" s="11"/>
    </row>
    <row r="79" spans="1:17" s="1" customFormat="1" x14ac:dyDescent="0.25">
      <c r="A79" s="13"/>
      <c r="B79" s="98"/>
      <c r="C79" s="99"/>
      <c r="D79" s="99"/>
      <c r="E79" s="99"/>
      <c r="F79" s="100"/>
      <c r="G79" s="129"/>
      <c r="H79" s="18"/>
      <c r="I79" s="10"/>
      <c r="J79" s="10"/>
      <c r="Q79" s="11"/>
    </row>
    <row r="80" spans="1:17" s="1" customFormat="1" x14ac:dyDescent="0.25">
      <c r="A80" s="13"/>
      <c r="B80" s="258" t="s">
        <v>65</v>
      </c>
      <c r="C80" s="99"/>
      <c r="D80" s="99"/>
      <c r="E80" s="99"/>
      <c r="F80" s="100"/>
      <c r="G80" s="129"/>
      <c r="H80" s="18"/>
      <c r="I80" s="10"/>
      <c r="J80" s="10"/>
      <c r="Q80" s="11"/>
    </row>
    <row r="81" spans="1:17" s="1" customFormat="1" x14ac:dyDescent="0.25">
      <c r="A81" s="13"/>
      <c r="B81" s="98"/>
      <c r="C81" s="99"/>
      <c r="D81" s="99"/>
      <c r="E81" s="99"/>
      <c r="F81" s="100"/>
      <c r="G81" s="129"/>
      <c r="H81" s="18"/>
      <c r="I81" s="10"/>
      <c r="J81" s="10"/>
      <c r="Q81" s="11"/>
    </row>
    <row r="82" spans="1:17" s="1" customFormat="1" x14ac:dyDescent="0.25">
      <c r="A82" s="13" t="s">
        <v>12</v>
      </c>
      <c r="B82" s="98" t="s">
        <v>58</v>
      </c>
      <c r="C82" s="99"/>
      <c r="D82" s="99"/>
      <c r="E82" s="99"/>
      <c r="F82" s="100"/>
      <c r="G82" s="256">
        <v>1.35</v>
      </c>
      <c r="H82" s="18"/>
      <c r="I82" s="10"/>
      <c r="J82" s="10"/>
      <c r="Q82" s="11"/>
    </row>
    <row r="83" spans="1:17" s="1" customFormat="1" x14ac:dyDescent="0.25">
      <c r="A83" s="13" t="s">
        <v>12</v>
      </c>
      <c r="B83" s="98" t="s">
        <v>62</v>
      </c>
      <c r="C83" s="99"/>
      <c r="D83" s="99"/>
      <c r="E83" s="99"/>
      <c r="F83" s="100"/>
      <c r="G83" s="256">
        <v>0.25</v>
      </c>
      <c r="H83" s="18"/>
      <c r="I83" s="10"/>
      <c r="J83" s="10"/>
      <c r="Q83" s="11"/>
    </row>
    <row r="84" spans="1:17" s="1" customFormat="1" x14ac:dyDescent="0.25">
      <c r="A84" s="13" t="s">
        <v>12</v>
      </c>
      <c r="B84" s="98" t="s">
        <v>66</v>
      </c>
      <c r="C84" s="99"/>
      <c r="D84" s="99"/>
      <c r="E84" s="99"/>
      <c r="F84" s="100"/>
      <c r="G84" s="256">
        <v>1.35</v>
      </c>
      <c r="H84" s="18"/>
      <c r="I84" s="10"/>
      <c r="J84" s="10"/>
      <c r="Q84" s="11"/>
    </row>
    <row r="85" spans="1:17" s="1" customFormat="1" x14ac:dyDescent="0.25">
      <c r="A85" s="13"/>
      <c r="B85" s="98"/>
      <c r="C85" s="99"/>
      <c r="D85" s="99"/>
      <c r="E85" s="99"/>
      <c r="F85" s="100"/>
      <c r="G85" s="129"/>
      <c r="H85" s="18"/>
      <c r="I85" s="10"/>
      <c r="J85" s="10"/>
      <c r="Q85" s="11"/>
    </row>
    <row r="86" spans="1:17" s="1" customFormat="1" x14ac:dyDescent="0.25">
      <c r="A86" s="13"/>
      <c r="B86" s="258" t="s">
        <v>67</v>
      </c>
      <c r="C86" s="99"/>
      <c r="D86" s="99"/>
      <c r="E86" s="99"/>
      <c r="F86" s="100"/>
      <c r="G86" s="129"/>
      <c r="H86" s="18"/>
      <c r="I86" s="10"/>
      <c r="J86" s="10"/>
      <c r="Q86" s="11"/>
    </row>
    <row r="87" spans="1:17" s="1" customFormat="1" x14ac:dyDescent="0.25">
      <c r="A87" s="13"/>
      <c r="B87" s="98"/>
      <c r="C87" s="99"/>
      <c r="D87" s="99"/>
      <c r="E87" s="99"/>
      <c r="F87" s="100"/>
      <c r="G87" s="129"/>
      <c r="H87" s="18"/>
      <c r="I87" s="10"/>
      <c r="J87" s="10"/>
      <c r="Q87" s="11"/>
    </row>
    <row r="88" spans="1:17" s="1" customFormat="1" x14ac:dyDescent="0.25">
      <c r="A88" s="13" t="s">
        <v>12</v>
      </c>
      <c r="B88" s="98" t="s">
        <v>68</v>
      </c>
      <c r="C88" s="99"/>
      <c r="D88" s="99"/>
      <c r="E88" s="99"/>
      <c r="F88" s="100"/>
      <c r="G88" s="255">
        <v>2</v>
      </c>
      <c r="H88" s="18"/>
      <c r="I88" s="10"/>
      <c r="J88" s="10"/>
      <c r="Q88" s="11"/>
    </row>
    <row r="89" spans="1:17" s="1" customFormat="1" x14ac:dyDescent="0.25">
      <c r="A89" s="13" t="s">
        <v>12</v>
      </c>
      <c r="B89" s="98" t="s">
        <v>58</v>
      </c>
      <c r="C89" s="99"/>
      <c r="D89" s="99"/>
      <c r="E89" s="99"/>
      <c r="F89" s="100"/>
      <c r="G89" s="256">
        <v>0.6</v>
      </c>
      <c r="H89" s="18"/>
      <c r="I89" s="10"/>
      <c r="J89" s="10"/>
      <c r="Q89" s="11"/>
    </row>
    <row r="90" spans="1:17" s="1" customFormat="1" x14ac:dyDescent="0.25">
      <c r="A90" s="13" t="s">
        <v>12</v>
      </c>
      <c r="B90" s="98" t="s">
        <v>59</v>
      </c>
      <c r="C90" s="99"/>
      <c r="D90" s="99"/>
      <c r="E90" s="99"/>
      <c r="F90" s="100"/>
      <c r="G90" s="256">
        <v>0.3</v>
      </c>
      <c r="H90" s="18"/>
      <c r="I90" s="10"/>
      <c r="J90" s="10"/>
      <c r="Q90" s="11"/>
    </row>
    <row r="91" spans="1:17" s="1" customFormat="1" x14ac:dyDescent="0.25">
      <c r="A91" s="13" t="s">
        <v>12</v>
      </c>
      <c r="B91" s="98" t="s">
        <v>60</v>
      </c>
      <c r="C91" s="99"/>
      <c r="D91" s="99"/>
      <c r="E91" s="99"/>
      <c r="F91" s="100"/>
      <c r="G91" s="256">
        <v>0.45</v>
      </c>
      <c r="H91" s="18"/>
      <c r="I91" s="10"/>
      <c r="J91" s="10"/>
      <c r="Q91" s="11"/>
    </row>
    <row r="92" spans="1:17" s="1" customFormat="1" x14ac:dyDescent="0.25">
      <c r="A92" s="13"/>
      <c r="B92" s="98"/>
      <c r="C92" s="99"/>
      <c r="D92" s="99"/>
      <c r="E92" s="99"/>
      <c r="F92" s="100"/>
      <c r="G92" s="129"/>
      <c r="H92" s="18"/>
      <c r="I92" s="10"/>
      <c r="J92" s="10"/>
      <c r="Q92" s="11"/>
    </row>
    <row r="93" spans="1:17" s="1" customFormat="1" x14ac:dyDescent="0.25">
      <c r="A93" s="13"/>
      <c r="B93" s="258" t="s">
        <v>69</v>
      </c>
      <c r="C93" s="99"/>
      <c r="D93" s="99"/>
      <c r="E93" s="99"/>
      <c r="F93" s="100"/>
      <c r="G93" s="129"/>
      <c r="H93" s="18"/>
      <c r="I93" s="10"/>
      <c r="J93" s="10"/>
      <c r="Q93" s="11"/>
    </row>
    <row r="94" spans="1:17" s="1" customFormat="1" x14ac:dyDescent="0.25">
      <c r="A94" s="13"/>
      <c r="B94" s="98"/>
      <c r="C94" s="99"/>
      <c r="D94" s="99"/>
      <c r="E94" s="99"/>
      <c r="F94" s="100"/>
      <c r="G94" s="129"/>
      <c r="H94" s="18"/>
      <c r="I94" s="10"/>
      <c r="J94" s="10"/>
      <c r="Q94" s="11"/>
    </row>
    <row r="95" spans="1:17" s="1" customFormat="1" x14ac:dyDescent="0.25">
      <c r="A95" s="13" t="s">
        <v>12</v>
      </c>
      <c r="B95" s="98" t="s">
        <v>68</v>
      </c>
      <c r="C95" s="99"/>
      <c r="D95" s="99"/>
      <c r="E95" s="99"/>
      <c r="F95" s="100"/>
      <c r="G95" s="255">
        <v>2</v>
      </c>
      <c r="H95" s="18"/>
      <c r="I95" s="10"/>
      <c r="J95" s="10"/>
      <c r="Q95" s="11"/>
    </row>
    <row r="96" spans="1:17" s="1" customFormat="1" x14ac:dyDescent="0.25">
      <c r="A96" s="13" t="s">
        <v>12</v>
      </c>
      <c r="B96" s="98" t="s">
        <v>58</v>
      </c>
      <c r="C96" s="99"/>
      <c r="D96" s="99"/>
      <c r="E96" s="99"/>
      <c r="F96" s="100"/>
      <c r="G96" s="256">
        <v>2.5</v>
      </c>
      <c r="H96" s="18"/>
      <c r="I96" s="10"/>
      <c r="J96" s="10"/>
      <c r="Q96" s="11"/>
    </row>
    <row r="97" spans="1:17" s="1" customFormat="1" x14ac:dyDescent="0.25">
      <c r="A97" s="13" t="s">
        <v>12</v>
      </c>
      <c r="B97" s="98" t="s">
        <v>60</v>
      </c>
      <c r="C97" s="99"/>
      <c r="D97" s="99"/>
      <c r="E97" s="99"/>
      <c r="F97" s="100"/>
      <c r="G97" s="256">
        <v>1.2</v>
      </c>
      <c r="H97" s="18"/>
      <c r="I97" s="10"/>
      <c r="J97" s="10"/>
      <c r="Q97" s="11"/>
    </row>
    <row r="98" spans="1:17" s="1" customFormat="1" x14ac:dyDescent="0.25">
      <c r="A98" s="13" t="s">
        <v>12</v>
      </c>
      <c r="B98" s="98" t="s">
        <v>70</v>
      </c>
      <c r="C98" s="99"/>
      <c r="D98" s="99"/>
      <c r="E98" s="99"/>
      <c r="F98" s="100"/>
      <c r="G98" s="256">
        <v>0.25</v>
      </c>
      <c r="H98" s="18"/>
      <c r="I98" s="10"/>
      <c r="J98" s="10"/>
      <c r="Q98" s="11"/>
    </row>
    <row r="99" spans="1:17" s="1" customFormat="1" x14ac:dyDescent="0.25">
      <c r="A99" s="13" t="s">
        <v>12</v>
      </c>
      <c r="B99" s="101" t="s">
        <v>71</v>
      </c>
      <c r="C99" s="102"/>
      <c r="D99" s="102"/>
      <c r="E99" s="102"/>
      <c r="F99" s="103"/>
      <c r="G99" s="259">
        <v>0.25</v>
      </c>
      <c r="H99" s="18"/>
      <c r="I99" s="10"/>
      <c r="J99" s="10"/>
      <c r="Q99" s="11"/>
    </row>
    <row r="100" spans="1:17" s="1" customFormat="1" x14ac:dyDescent="0.25">
      <c r="A100" s="13"/>
      <c r="B100" s="98"/>
      <c r="C100" s="99"/>
      <c r="D100" s="99"/>
      <c r="E100" s="99"/>
      <c r="F100" s="100"/>
      <c r="G100" s="129"/>
      <c r="H100" s="18"/>
      <c r="I100" s="10"/>
      <c r="J100" s="10"/>
      <c r="Q100" s="11"/>
    </row>
    <row r="101" spans="1:17" s="1" customFormat="1" x14ac:dyDescent="0.25">
      <c r="A101" s="13"/>
      <c r="B101" s="98" t="s">
        <v>72</v>
      </c>
      <c r="C101" s="99"/>
      <c r="D101" s="99"/>
      <c r="E101" s="99"/>
      <c r="F101" s="100"/>
      <c r="G101" s="130"/>
      <c r="H101" s="18"/>
      <c r="I101" s="10"/>
      <c r="J101" s="10"/>
      <c r="Q101" s="11"/>
    </row>
    <row r="102" spans="1:17" s="1" customFormat="1" x14ac:dyDescent="0.25">
      <c r="A102" s="13"/>
      <c r="B102" s="98"/>
      <c r="C102" s="99"/>
      <c r="D102" s="99"/>
      <c r="E102" s="99"/>
      <c r="F102" s="100"/>
      <c r="G102" s="130"/>
      <c r="H102" s="18"/>
      <c r="I102" s="10"/>
      <c r="J102" s="10"/>
      <c r="Q102" s="11"/>
    </row>
    <row r="103" spans="1:17" s="1" customFormat="1" x14ac:dyDescent="0.25">
      <c r="A103" s="13" t="s">
        <v>12</v>
      </c>
      <c r="B103" s="260" t="s">
        <v>73</v>
      </c>
      <c r="C103" s="261"/>
      <c r="D103" s="261"/>
      <c r="E103" s="261"/>
      <c r="F103" s="262"/>
      <c r="G103" s="263">
        <f>3.321-0.195</f>
        <v>3.1260000000000003</v>
      </c>
      <c r="H103" s="18"/>
      <c r="I103" s="10"/>
      <c r="J103" s="10"/>
      <c r="Q103" s="11"/>
    </row>
    <row r="104" spans="1:17" s="1" customFormat="1" x14ac:dyDescent="0.25">
      <c r="A104" s="13" t="s">
        <v>12</v>
      </c>
      <c r="B104" s="264" t="s">
        <v>74</v>
      </c>
      <c r="C104" s="265"/>
      <c r="D104" s="265"/>
      <c r="E104" s="265"/>
      <c r="F104" s="266"/>
      <c r="G104" s="267">
        <v>28</v>
      </c>
      <c r="H104" s="18"/>
      <c r="I104" s="10"/>
      <c r="J104" s="10"/>
      <c r="Q104" s="11"/>
    </row>
    <row r="105" spans="1:17" s="1" customFormat="1" x14ac:dyDescent="0.25">
      <c r="A105" s="13" t="s">
        <v>12</v>
      </c>
      <c r="B105" s="264" t="s">
        <v>75</v>
      </c>
      <c r="C105" s="265"/>
      <c r="D105" s="265"/>
      <c r="E105" s="265"/>
      <c r="F105" s="266"/>
      <c r="G105" s="268">
        <v>2</v>
      </c>
      <c r="H105" s="18"/>
      <c r="I105" s="10"/>
      <c r="J105" s="10"/>
      <c r="Q105" s="11"/>
    </row>
    <row r="106" spans="1:17" s="1" customFormat="1" x14ac:dyDescent="0.25">
      <c r="A106" s="13" t="s">
        <v>12</v>
      </c>
      <c r="B106" s="264" t="s">
        <v>76</v>
      </c>
      <c r="C106" s="265"/>
      <c r="D106" s="265"/>
      <c r="E106" s="265"/>
      <c r="F106" s="266"/>
      <c r="G106" s="267">
        <v>0.6</v>
      </c>
      <c r="H106" s="18"/>
      <c r="I106" s="10"/>
      <c r="J106" s="10"/>
      <c r="Q106" s="11"/>
    </row>
    <row r="107" spans="1:17" s="1" customFormat="1" x14ac:dyDescent="0.25">
      <c r="A107" s="13" t="s">
        <v>12</v>
      </c>
      <c r="B107" s="264" t="s">
        <v>77</v>
      </c>
      <c r="C107" s="265"/>
      <c r="D107" s="265"/>
      <c r="E107" s="265"/>
      <c r="F107" s="266"/>
      <c r="G107" s="267">
        <v>1.6</v>
      </c>
      <c r="H107" s="18"/>
      <c r="I107" s="10"/>
      <c r="J107" s="10"/>
      <c r="Q107" s="11"/>
    </row>
    <row r="108" spans="1:17" s="1" customFormat="1" x14ac:dyDescent="0.25">
      <c r="A108" s="13" t="s">
        <v>12</v>
      </c>
      <c r="B108" s="264" t="s">
        <v>78</v>
      </c>
      <c r="C108" s="265"/>
      <c r="D108" s="265"/>
      <c r="E108" s="265"/>
      <c r="F108" s="266"/>
      <c r="G108" s="269">
        <v>0.25</v>
      </c>
      <c r="H108" s="18"/>
      <c r="I108" s="10"/>
      <c r="J108" s="10"/>
      <c r="Q108" s="11"/>
    </row>
    <row r="109" spans="1:17" s="1" customFormat="1" x14ac:dyDescent="0.25">
      <c r="A109" s="13" t="s">
        <v>12</v>
      </c>
      <c r="B109" s="264" t="s">
        <v>79</v>
      </c>
      <c r="C109" s="265"/>
      <c r="D109" s="265"/>
      <c r="E109" s="265"/>
      <c r="F109" s="266"/>
      <c r="G109" s="269">
        <v>7.0000000000000007E-2</v>
      </c>
      <c r="H109" s="18"/>
      <c r="I109" s="10"/>
      <c r="J109" s="10"/>
      <c r="Q109" s="11"/>
    </row>
    <row r="110" spans="1:17" s="1" customFormat="1" x14ac:dyDescent="0.25">
      <c r="A110" s="13" t="s">
        <v>12</v>
      </c>
      <c r="B110" s="264" t="s">
        <v>80</v>
      </c>
      <c r="C110" s="265"/>
      <c r="D110" s="265"/>
      <c r="E110" s="265"/>
      <c r="F110" s="266"/>
      <c r="G110" s="270">
        <v>1.5</v>
      </c>
      <c r="H110" s="18"/>
      <c r="I110" s="10"/>
      <c r="J110" s="10"/>
      <c r="Q110" s="11"/>
    </row>
    <row r="111" spans="1:17" s="1" customFormat="1" x14ac:dyDescent="0.25">
      <c r="A111" s="13" t="s">
        <v>12</v>
      </c>
      <c r="B111" s="264" t="s">
        <v>81</v>
      </c>
      <c r="C111" s="265"/>
      <c r="D111" s="265"/>
      <c r="E111" s="265"/>
      <c r="F111" s="266"/>
      <c r="G111" s="267">
        <v>6</v>
      </c>
      <c r="H111" s="18"/>
      <c r="I111" s="10"/>
      <c r="J111" s="10"/>
      <c r="Q111" s="11"/>
    </row>
    <row r="112" spans="1:17" s="1" customFormat="1" x14ac:dyDescent="0.25">
      <c r="A112" s="13" t="s">
        <v>12</v>
      </c>
      <c r="B112" s="271" t="s">
        <v>82</v>
      </c>
      <c r="C112" s="272"/>
      <c r="D112" s="272"/>
      <c r="E112" s="272"/>
      <c r="F112" s="273"/>
      <c r="G112" s="274">
        <v>0.1</v>
      </c>
      <c r="H112" s="18"/>
      <c r="I112" s="10"/>
      <c r="J112" s="10"/>
      <c r="Q112" s="11"/>
    </row>
    <row r="113" spans="1:17" s="1" customFormat="1" x14ac:dyDescent="0.25">
      <c r="A113" s="13"/>
      <c r="B113" s="14"/>
      <c r="C113" s="14"/>
      <c r="D113" s="14"/>
      <c r="E113" s="14"/>
      <c r="F113" s="15"/>
      <c r="G113" s="24"/>
      <c r="H113" s="18"/>
      <c r="I113" s="10"/>
      <c r="J113" s="10"/>
      <c r="Q113" s="11"/>
    </row>
    <row r="114" spans="1:17" s="1" customFormat="1" x14ac:dyDescent="0.3">
      <c r="A114" s="25">
        <f>1</f>
        <v>1</v>
      </c>
      <c r="B114" s="5" t="s">
        <v>83</v>
      </c>
      <c r="C114" s="10"/>
      <c r="D114" s="10"/>
      <c r="E114" s="10"/>
      <c r="F114" s="10"/>
      <c r="G114" s="10"/>
      <c r="H114" s="10"/>
      <c r="I114" s="10"/>
      <c r="J114" s="10"/>
      <c r="Q114" s="11"/>
    </row>
    <row r="116" spans="1:17" s="1" customFormat="1" ht="15" x14ac:dyDescent="0.35">
      <c r="A116" s="13" t="s">
        <v>12</v>
      </c>
      <c r="B116" s="131" t="s">
        <v>84</v>
      </c>
      <c r="C116" s="132"/>
      <c r="D116" s="132"/>
      <c r="E116" s="132"/>
      <c r="F116" s="133"/>
      <c r="G116" s="407">
        <f>0.522*(L_superestuctura/2)</f>
        <v>7.3079999999999998</v>
      </c>
      <c r="H116" s="408"/>
      <c r="I116" s="10"/>
      <c r="J116" s="10"/>
      <c r="Q116" s="11"/>
    </row>
    <row r="117" spans="1:17" s="1" customFormat="1" x14ac:dyDescent="0.25">
      <c r="A117" s="13"/>
      <c r="B117" s="14"/>
      <c r="C117" s="14"/>
      <c r="D117" s="14"/>
      <c r="E117" s="14"/>
      <c r="F117" s="15"/>
      <c r="G117" s="23"/>
      <c r="H117" s="18"/>
      <c r="I117" s="10"/>
      <c r="J117" s="10"/>
      <c r="Q117" s="11"/>
    </row>
    <row r="118" spans="1:17" s="1" customFormat="1" x14ac:dyDescent="0.3">
      <c r="A118" s="25">
        <f>A114+1</f>
        <v>2</v>
      </c>
      <c r="B118" s="5" t="s">
        <v>85</v>
      </c>
      <c r="C118" s="10"/>
      <c r="D118" s="10"/>
      <c r="E118" s="10"/>
      <c r="F118" s="10"/>
      <c r="G118" s="10"/>
      <c r="H118" s="10"/>
      <c r="I118" s="10"/>
      <c r="J118" s="10"/>
      <c r="Q118" s="11"/>
    </row>
    <row r="119" spans="1:17" s="1" customFormat="1" x14ac:dyDescent="0.25">
      <c r="A119" s="13"/>
      <c r="B119" s="14"/>
      <c r="C119" s="14"/>
      <c r="D119" s="14"/>
      <c r="E119" s="14"/>
      <c r="F119" s="15"/>
      <c r="G119" s="23"/>
      <c r="H119" s="18"/>
      <c r="I119" s="10"/>
      <c r="J119" s="10"/>
      <c r="Q119" s="11"/>
    </row>
    <row r="120" spans="1:17" s="1" customFormat="1" ht="15.6" x14ac:dyDescent="0.35">
      <c r="A120" s="13" t="s">
        <v>12</v>
      </c>
      <c r="B120" s="131" t="s">
        <v>86</v>
      </c>
      <c r="C120" s="132"/>
      <c r="D120" s="132"/>
      <c r="E120" s="132"/>
      <c r="F120" s="133"/>
      <c r="G120" s="275">
        <f>0.149*(L_superestuctura/2)</f>
        <v>2.0859999999999999</v>
      </c>
      <c r="H120" s="134"/>
      <c r="I120" s="10"/>
      <c r="J120" s="10"/>
      <c r="Q120" s="11"/>
    </row>
    <row r="122" spans="1:17" s="1" customFormat="1" x14ac:dyDescent="0.3">
      <c r="A122" s="25">
        <f>A118+1</f>
        <v>3</v>
      </c>
      <c r="B122" s="5" t="s">
        <v>87</v>
      </c>
      <c r="C122" s="10"/>
      <c r="D122" s="10"/>
      <c r="E122" s="10"/>
      <c r="F122" s="10"/>
      <c r="G122" s="10"/>
      <c r="H122" s="10"/>
      <c r="I122" s="10"/>
      <c r="J122" s="10"/>
      <c r="Q122" s="11"/>
    </row>
    <row r="123" spans="1:17" s="1" customFormat="1" x14ac:dyDescent="0.25">
      <c r="A123" s="13"/>
      <c r="B123" s="14"/>
      <c r="C123" s="14"/>
      <c r="D123" s="14"/>
      <c r="E123" s="14"/>
      <c r="F123" s="15"/>
      <c r="G123" s="23"/>
      <c r="H123" s="18"/>
      <c r="I123" s="10"/>
      <c r="J123" s="10"/>
      <c r="Q123" s="11"/>
    </row>
    <row r="124" spans="1:17" s="1" customFormat="1" ht="15.6" x14ac:dyDescent="0.35">
      <c r="A124" s="13" t="s">
        <v>12</v>
      </c>
      <c r="B124" s="131" t="s">
        <v>88</v>
      </c>
      <c r="C124" s="132"/>
      <c r="D124" s="132"/>
      <c r="E124" s="132"/>
      <c r="F124" s="133"/>
      <c r="G124" s="275">
        <f>(0.096+0.012+0.12)*(L_superestuctura/2)</f>
        <v>3.1919999999999997</v>
      </c>
      <c r="H124" s="134"/>
      <c r="I124" s="10"/>
      <c r="J124" s="10"/>
      <c r="Q124" s="11"/>
    </row>
    <row r="125" spans="1:17" s="1" customFormat="1" x14ac:dyDescent="0.25">
      <c r="A125" s="13"/>
      <c r="B125" s="14"/>
      <c r="C125" s="14"/>
      <c r="D125" s="14"/>
      <c r="E125" s="14"/>
      <c r="F125" s="15"/>
      <c r="G125" s="23"/>
      <c r="H125" s="18"/>
      <c r="I125" s="10"/>
      <c r="J125" s="10"/>
      <c r="Q125" s="11"/>
    </row>
    <row r="126" spans="1:17" s="1" customFormat="1" x14ac:dyDescent="0.3">
      <c r="A126" s="25">
        <f>A122+1</f>
        <v>4</v>
      </c>
      <c r="B126" s="5" t="s">
        <v>89</v>
      </c>
      <c r="C126" s="10"/>
      <c r="D126" s="10"/>
      <c r="E126" s="10"/>
      <c r="F126" s="10"/>
      <c r="G126" s="10"/>
      <c r="H126" s="10"/>
      <c r="I126" s="10"/>
      <c r="J126" s="10"/>
      <c r="Q126" s="11"/>
    </row>
    <row r="127" spans="1:17" s="1" customFormat="1" x14ac:dyDescent="0.25">
      <c r="A127" s="13"/>
      <c r="B127" s="14"/>
      <c r="C127" s="14"/>
      <c r="D127" s="14"/>
      <c r="E127" s="14"/>
      <c r="F127" s="15"/>
      <c r="G127" s="23"/>
      <c r="H127" s="18"/>
      <c r="I127" s="10"/>
      <c r="J127" s="10"/>
      <c r="Q127" s="11"/>
    </row>
    <row r="128" spans="1:17" s="1" customFormat="1" x14ac:dyDescent="0.25">
      <c r="A128" s="13" t="s">
        <v>12</v>
      </c>
      <c r="B128" s="131" t="s">
        <v>90</v>
      </c>
      <c r="C128" s="132"/>
      <c r="D128" s="132"/>
      <c r="E128" s="132"/>
      <c r="F128" s="133"/>
      <c r="G128" s="275">
        <f>0*(L_superestuctura/2)</f>
        <v>0</v>
      </c>
      <c r="H128" s="134"/>
      <c r="I128" s="10"/>
      <c r="J128" s="10"/>
      <c r="Q128" s="11"/>
    </row>
    <row r="129" spans="1:17" s="1" customFormat="1" x14ac:dyDescent="0.25">
      <c r="A129" s="13"/>
      <c r="B129" s="14"/>
      <c r="C129" s="14"/>
      <c r="D129" s="14"/>
      <c r="E129" s="14"/>
      <c r="F129" s="15"/>
      <c r="G129" s="23"/>
      <c r="H129" s="18"/>
      <c r="I129" s="10"/>
      <c r="J129" s="10"/>
      <c r="Q129" s="11"/>
    </row>
    <row r="130" spans="1:17" s="1" customFormat="1" x14ac:dyDescent="0.3">
      <c r="A130" s="25">
        <f>A126+1</f>
        <v>5</v>
      </c>
      <c r="B130" s="5" t="s">
        <v>91</v>
      </c>
      <c r="C130" s="10"/>
      <c r="D130" s="10"/>
      <c r="E130" s="10"/>
      <c r="F130" s="10"/>
      <c r="G130" s="10"/>
      <c r="H130" s="10"/>
      <c r="I130" s="10"/>
      <c r="J130" s="10"/>
      <c r="Q130" s="11"/>
    </row>
    <row r="131" spans="1:17" s="1" customFormat="1" x14ac:dyDescent="0.3">
      <c r="A131" s="25"/>
      <c r="B131" s="5"/>
      <c r="C131" s="10"/>
      <c r="D131" s="10"/>
      <c r="E131" s="10"/>
      <c r="F131" s="10"/>
      <c r="G131" s="10"/>
      <c r="H131" s="10"/>
      <c r="I131" s="10"/>
      <c r="J131" s="10"/>
      <c r="Q131" s="11"/>
    </row>
    <row r="132" spans="1:17" s="1" customFormat="1" x14ac:dyDescent="0.25">
      <c r="A132" s="13" t="s">
        <v>12</v>
      </c>
      <c r="B132" s="95" t="s">
        <v>92</v>
      </c>
      <c r="C132" s="96"/>
      <c r="D132" s="96"/>
      <c r="E132" s="96"/>
      <c r="F132" s="97"/>
      <c r="G132" s="135"/>
      <c r="H132" s="75"/>
      <c r="I132" s="121"/>
      <c r="J132" s="122"/>
      <c r="Q132" s="11"/>
    </row>
    <row r="133" spans="1:17" s="1" customFormat="1" x14ac:dyDescent="0.25">
      <c r="A133" s="13"/>
      <c r="B133" s="98" t="s">
        <v>93</v>
      </c>
      <c r="C133" s="99"/>
      <c r="D133" s="99"/>
      <c r="E133" s="99"/>
      <c r="F133" s="100"/>
      <c r="G133" s="401">
        <f>(DC_losa+DC_vigas+DC_sobreimpuestas)/Largo_estribo</f>
        <v>4.1953333333333331</v>
      </c>
      <c r="H133" s="401"/>
      <c r="I133" s="136"/>
      <c r="J133" s="125"/>
      <c r="Q133" s="11"/>
    </row>
    <row r="134" spans="1:17" s="1" customFormat="1" ht="15.6" x14ac:dyDescent="0.35">
      <c r="A134" s="13"/>
      <c r="B134" s="98" t="s">
        <v>94</v>
      </c>
      <c r="C134" s="99"/>
      <c r="D134" s="99"/>
      <c r="E134" s="99"/>
      <c r="F134" s="100"/>
      <c r="G134" s="137">
        <f>Ancho_base_estribo-(Espesor_vástago_estribo/2)</f>
        <v>1.25</v>
      </c>
      <c r="H134" s="124"/>
      <c r="I134" s="136"/>
      <c r="J134" s="125"/>
      <c r="Q134" s="11"/>
    </row>
    <row r="135" spans="1:17" s="1" customFormat="1" ht="15.6" x14ac:dyDescent="0.35">
      <c r="A135" s="13"/>
      <c r="B135" s="98" t="s">
        <v>95</v>
      </c>
      <c r="C135" s="99"/>
      <c r="D135" s="99"/>
      <c r="E135" s="99"/>
      <c r="F135" s="100"/>
      <c r="G135" s="400">
        <f>DC*X_A</f>
        <v>5.2441666666666666</v>
      </c>
      <c r="H135" s="400"/>
      <c r="I135" s="136"/>
      <c r="J135" s="125"/>
      <c r="Q135" s="11"/>
    </row>
    <row r="136" spans="1:17" s="1" customFormat="1" x14ac:dyDescent="0.25">
      <c r="A136" s="13" t="s">
        <v>12</v>
      </c>
      <c r="B136" s="98" t="s">
        <v>96</v>
      </c>
      <c r="C136" s="99"/>
      <c r="D136" s="99"/>
      <c r="E136" s="99"/>
      <c r="F136" s="100"/>
      <c r="G136" s="138"/>
      <c r="H136" s="124"/>
      <c r="I136" s="136"/>
      <c r="J136" s="125"/>
      <c r="Q136" s="11"/>
    </row>
    <row r="137" spans="1:17" s="1" customFormat="1" x14ac:dyDescent="0.25">
      <c r="A137" s="13"/>
      <c r="B137" s="98" t="s">
        <v>90</v>
      </c>
      <c r="C137" s="99"/>
      <c r="D137" s="99"/>
      <c r="E137" s="99"/>
      <c r="F137" s="100"/>
      <c r="G137" s="401">
        <f>DW/Largo_estribo</f>
        <v>0</v>
      </c>
      <c r="H137" s="401"/>
      <c r="I137" s="136"/>
      <c r="J137" s="125"/>
      <c r="Q137" s="11"/>
    </row>
    <row r="138" spans="1:17" s="1" customFormat="1" ht="15.6" x14ac:dyDescent="0.35">
      <c r="A138" s="13"/>
      <c r="B138" s="98" t="s">
        <v>94</v>
      </c>
      <c r="C138" s="99"/>
      <c r="D138" s="99"/>
      <c r="E138" s="99"/>
      <c r="F138" s="100"/>
      <c r="G138" s="137">
        <f>X_A</f>
        <v>1.25</v>
      </c>
      <c r="H138" s="124"/>
      <c r="I138" s="136"/>
      <c r="J138" s="125"/>
      <c r="Q138" s="11"/>
    </row>
    <row r="139" spans="1:17" s="1" customFormat="1" ht="15.6" x14ac:dyDescent="0.35">
      <c r="A139" s="13"/>
      <c r="B139" s="101" t="s">
        <v>95</v>
      </c>
      <c r="C139" s="102"/>
      <c r="D139" s="102"/>
      <c r="E139" s="102"/>
      <c r="F139" s="103"/>
      <c r="G139" s="402">
        <f>DW_por_longitud*X_A</f>
        <v>0</v>
      </c>
      <c r="H139" s="402"/>
      <c r="I139" s="139"/>
      <c r="J139" s="127"/>
      <c r="Q139" s="11"/>
    </row>
    <row r="140" spans="1:17" s="1" customFormat="1" x14ac:dyDescent="0.3">
      <c r="A140" s="25"/>
      <c r="B140" s="5"/>
      <c r="C140" s="10"/>
      <c r="D140" s="10"/>
      <c r="E140" s="10"/>
      <c r="F140" s="10"/>
      <c r="G140" s="10"/>
      <c r="H140" s="10"/>
      <c r="I140" s="10"/>
      <c r="J140" s="10"/>
      <c r="Q140" s="11"/>
    </row>
    <row r="141" spans="1:17" s="1" customFormat="1" x14ac:dyDescent="0.3">
      <c r="A141" s="25">
        <f>A130+1</f>
        <v>6</v>
      </c>
      <c r="B141" s="5" t="s">
        <v>97</v>
      </c>
      <c r="C141" s="10"/>
      <c r="D141" s="10"/>
      <c r="E141" s="10"/>
      <c r="F141" s="10"/>
      <c r="G141" s="10"/>
      <c r="H141" s="10"/>
      <c r="I141" s="10"/>
      <c r="J141" s="10"/>
      <c r="Q141" s="11"/>
    </row>
    <row r="142" spans="1:17" s="1" customFormat="1" x14ac:dyDescent="0.3">
      <c r="A142" s="25"/>
      <c r="B142" s="5"/>
      <c r="C142" s="10"/>
      <c r="D142" s="10"/>
      <c r="E142" s="10"/>
      <c r="F142" s="10"/>
      <c r="G142" s="10"/>
      <c r="H142" s="10"/>
      <c r="I142" s="10"/>
      <c r="J142" s="10"/>
      <c r="Q142" s="11"/>
    </row>
    <row r="143" spans="1:17" s="1" customFormat="1" x14ac:dyDescent="0.25">
      <c r="A143" s="13"/>
      <c r="B143" s="14" t="s">
        <v>98</v>
      </c>
      <c r="C143" s="14"/>
      <c r="D143" s="14"/>
      <c r="E143" s="14"/>
      <c r="F143" s="15"/>
      <c r="G143" s="23"/>
      <c r="H143" s="18"/>
      <c r="I143" s="10"/>
      <c r="J143" s="10"/>
      <c r="Q143" s="11"/>
    </row>
    <row r="144" spans="1:17" s="1" customFormat="1" x14ac:dyDescent="0.25">
      <c r="A144" s="13" t="s">
        <v>12</v>
      </c>
      <c r="B144" s="276" t="s">
        <v>99</v>
      </c>
      <c r="C144" s="276"/>
      <c r="D144" s="276"/>
      <c r="E144" s="276"/>
      <c r="F144" s="277"/>
      <c r="G144" s="278"/>
      <c r="H144" s="18"/>
      <c r="I144" s="10"/>
      <c r="J144" s="10"/>
      <c r="Q144" s="11"/>
    </row>
    <row r="145" spans="1:17" s="1" customFormat="1" x14ac:dyDescent="0.25">
      <c r="A145" s="13"/>
      <c r="B145" s="276" t="s">
        <v>100</v>
      </c>
      <c r="C145" s="276"/>
      <c r="D145" s="276"/>
      <c r="E145" s="276"/>
      <c r="F145" s="277"/>
      <c r="G145" s="279">
        <v>160</v>
      </c>
      <c r="H145" s="18"/>
      <c r="I145" s="10"/>
      <c r="J145" s="10"/>
      <c r="Q145" s="11"/>
    </row>
    <row r="146" spans="1:17" s="1" customFormat="1" x14ac:dyDescent="0.25">
      <c r="A146" s="13"/>
      <c r="B146" s="276" t="s">
        <v>101</v>
      </c>
      <c r="C146" s="276"/>
      <c r="D146" s="276"/>
      <c r="E146" s="276"/>
      <c r="F146" s="277"/>
      <c r="G146" s="279">
        <v>160</v>
      </c>
      <c r="H146" s="18"/>
      <c r="I146" s="10"/>
      <c r="J146" s="10"/>
      <c r="Q146" s="11"/>
    </row>
    <row r="147" spans="1:17" s="1" customFormat="1" x14ac:dyDescent="0.25">
      <c r="A147" s="13"/>
      <c r="B147" s="276" t="s">
        <v>102</v>
      </c>
      <c r="C147" s="276"/>
      <c r="D147" s="276"/>
      <c r="E147" s="276"/>
      <c r="F147" s="277"/>
      <c r="G147" s="279">
        <v>40</v>
      </c>
      <c r="H147" s="18"/>
      <c r="I147" s="10"/>
      <c r="J147" s="10"/>
      <c r="Q147" s="11"/>
    </row>
    <row r="148" spans="1:17" s="1" customFormat="1" x14ac:dyDescent="0.25">
      <c r="A148" s="13"/>
      <c r="B148" s="276" t="s">
        <v>103</v>
      </c>
      <c r="C148" s="276"/>
      <c r="D148" s="276"/>
      <c r="E148" s="276"/>
      <c r="F148" s="277"/>
      <c r="G148" s="278">
        <v>4.3</v>
      </c>
      <c r="H148" s="18"/>
      <c r="I148" s="10"/>
      <c r="J148" s="10"/>
      <c r="Q148" s="11"/>
    </row>
    <row r="149" spans="1:17" s="1" customFormat="1" x14ac:dyDescent="0.25">
      <c r="A149" s="13"/>
      <c r="B149" s="276" t="s">
        <v>104</v>
      </c>
      <c r="C149" s="276"/>
      <c r="D149" s="276"/>
      <c r="E149" s="276"/>
      <c r="F149" s="277"/>
      <c r="G149" s="278">
        <v>4.3</v>
      </c>
      <c r="H149" s="18"/>
      <c r="I149" s="10"/>
      <c r="J149" s="10"/>
      <c r="Q149" s="11"/>
    </row>
    <row r="150" spans="1:17" s="1" customFormat="1" x14ac:dyDescent="0.25">
      <c r="A150" s="13"/>
      <c r="B150" s="14"/>
      <c r="C150" s="14"/>
      <c r="D150" s="14"/>
      <c r="E150" s="14"/>
      <c r="F150" s="15"/>
      <c r="G150" s="24"/>
      <c r="H150" s="18"/>
      <c r="I150" s="10"/>
      <c r="J150" s="10"/>
      <c r="Q150" s="11"/>
    </row>
    <row r="151" spans="1:17" s="1" customFormat="1" x14ac:dyDescent="0.25">
      <c r="A151" s="13" t="s">
        <v>12</v>
      </c>
      <c r="B151" s="14" t="s">
        <v>105</v>
      </c>
      <c r="C151" s="14"/>
      <c r="D151" s="14"/>
      <c r="E151" s="14"/>
      <c r="F151" s="15"/>
      <c r="G151" s="24"/>
      <c r="H151" s="18"/>
      <c r="I151" s="10"/>
      <c r="J151" s="10"/>
      <c r="Q151" s="11"/>
    </row>
    <row r="152" spans="1:17" s="1" customFormat="1" x14ac:dyDescent="0.25">
      <c r="A152" s="13"/>
      <c r="B152" s="276" t="s">
        <v>100</v>
      </c>
      <c r="C152" s="276"/>
      <c r="D152" s="276"/>
      <c r="E152" s="276"/>
      <c r="F152" s="277"/>
      <c r="G152" s="279">
        <v>125</v>
      </c>
      <c r="H152" s="18"/>
      <c r="I152" s="10"/>
      <c r="J152" s="10"/>
      <c r="Q152" s="11"/>
    </row>
    <row r="153" spans="1:17" s="1" customFormat="1" x14ac:dyDescent="0.25">
      <c r="A153" s="13"/>
      <c r="B153" s="276" t="s">
        <v>101</v>
      </c>
      <c r="C153" s="276"/>
      <c r="D153" s="276"/>
      <c r="E153" s="276"/>
      <c r="F153" s="277"/>
      <c r="G153" s="279">
        <v>125</v>
      </c>
      <c r="H153" s="18"/>
      <c r="I153" s="10"/>
      <c r="J153" s="10"/>
      <c r="Q153" s="11"/>
    </row>
    <row r="154" spans="1:17" s="1" customFormat="1" x14ac:dyDescent="0.25">
      <c r="A154" s="13"/>
      <c r="B154" s="276" t="s">
        <v>103</v>
      </c>
      <c r="C154" s="276"/>
      <c r="D154" s="276"/>
      <c r="E154" s="276"/>
      <c r="F154" s="277"/>
      <c r="G154" s="278">
        <v>1.2</v>
      </c>
      <c r="H154" s="18"/>
      <c r="I154" s="10"/>
      <c r="J154" s="10"/>
      <c r="Q154" s="11"/>
    </row>
    <row r="155" spans="1:17" ht="11.25" customHeight="1" x14ac:dyDescent="0.25">
      <c r="A155" s="14"/>
      <c r="B155" s="14"/>
      <c r="C155" s="14"/>
      <c r="D155" s="14"/>
      <c r="E155" s="14"/>
      <c r="F155" s="14"/>
      <c r="G155" s="14"/>
      <c r="H155" s="14"/>
      <c r="I155" s="14"/>
    </row>
    <row r="156" spans="1:17" s="1" customFormat="1" x14ac:dyDescent="0.25">
      <c r="A156" s="13" t="s">
        <v>12</v>
      </c>
      <c r="B156" s="14" t="s">
        <v>106</v>
      </c>
      <c r="C156" s="14"/>
      <c r="D156" s="14"/>
      <c r="E156" s="14"/>
      <c r="F156" s="15"/>
      <c r="G156" s="24"/>
      <c r="H156" s="18"/>
      <c r="I156" s="10"/>
      <c r="J156" s="10"/>
      <c r="Q156" s="11"/>
    </row>
    <row r="157" spans="1:17" s="1" customFormat="1" x14ac:dyDescent="0.25">
      <c r="A157" s="13"/>
      <c r="B157" s="276" t="s">
        <v>107</v>
      </c>
      <c r="C157" s="276"/>
      <c r="D157" s="276"/>
      <c r="E157" s="276"/>
      <c r="F157" s="277"/>
      <c r="G157" s="403">
        <v>10.3</v>
      </c>
      <c r="H157" s="403"/>
      <c r="I157" s="10"/>
      <c r="J157" s="10"/>
      <c r="Q157" s="11"/>
    </row>
    <row r="158" spans="1:17" s="1" customFormat="1" x14ac:dyDescent="0.25">
      <c r="A158" s="13"/>
      <c r="B158" s="14"/>
      <c r="C158" s="14"/>
      <c r="D158" s="14"/>
      <c r="E158" s="14"/>
      <c r="F158" s="15"/>
      <c r="G158" s="26"/>
      <c r="H158" s="26"/>
      <c r="I158" s="10"/>
      <c r="J158" s="10"/>
      <c r="Q158" s="11"/>
    </row>
    <row r="159" spans="1:17" s="1" customFormat="1" x14ac:dyDescent="0.25">
      <c r="A159" s="13" t="s">
        <v>12</v>
      </c>
      <c r="B159" s="260" t="s">
        <v>108</v>
      </c>
      <c r="C159" s="261"/>
      <c r="D159" s="261"/>
      <c r="E159" s="261"/>
      <c r="F159" s="262"/>
      <c r="G159" s="280"/>
      <c r="H159" s="18"/>
      <c r="I159" s="10"/>
      <c r="J159" s="10"/>
      <c r="Q159" s="11"/>
    </row>
    <row r="160" spans="1:17" s="1" customFormat="1" x14ac:dyDescent="0.25">
      <c r="A160" s="13"/>
      <c r="B160" s="264"/>
      <c r="C160" s="265"/>
      <c r="D160" s="265"/>
      <c r="E160" s="265"/>
      <c r="F160" s="266"/>
      <c r="G160" s="281"/>
      <c r="H160" s="26"/>
      <c r="I160" s="10"/>
      <c r="J160" s="10"/>
      <c r="Q160" s="11"/>
    </row>
    <row r="161" spans="1:17" s="1" customFormat="1" ht="15.6" x14ac:dyDescent="0.35">
      <c r="A161" s="13"/>
      <c r="B161" s="271" t="s">
        <v>109</v>
      </c>
      <c r="C161" s="272"/>
      <c r="D161" s="272"/>
      <c r="E161" s="272"/>
      <c r="F161" s="273"/>
      <c r="G161" s="298">
        <f>0*(Carga_primer_eje_camión*1+Carga_segundo_eje_camión*(1-Distancia_primer_segundo_eje_camión/L_superestuctura)+Carga_tercer_eje_camión*(1-(Distancia_primer_segundo_eje_camión+Distancia_segundo_tercer_eje_camión)/L_superestuctura))</f>
        <v>0</v>
      </c>
      <c r="H161" s="26"/>
      <c r="I161" s="10"/>
      <c r="J161" s="10"/>
      <c r="Q161" s="11"/>
    </row>
    <row r="162" spans="1:17" s="1" customFormat="1" x14ac:dyDescent="0.25">
      <c r="A162" s="13"/>
      <c r="B162" s="14"/>
      <c r="C162" s="14"/>
      <c r="D162" s="14"/>
      <c r="E162" s="14"/>
      <c r="F162" s="15"/>
      <c r="G162" s="26"/>
      <c r="H162" s="26"/>
      <c r="I162" s="10"/>
      <c r="J162" s="10"/>
      <c r="Q162" s="11"/>
    </row>
    <row r="163" spans="1:17" s="1" customFormat="1" x14ac:dyDescent="0.25">
      <c r="A163" s="13" t="s">
        <v>12</v>
      </c>
      <c r="B163" s="14" t="s">
        <v>110</v>
      </c>
      <c r="C163" s="14"/>
      <c r="D163" s="14"/>
      <c r="E163" s="14"/>
      <c r="F163" s="15"/>
      <c r="G163" s="24"/>
      <c r="H163" s="18"/>
      <c r="I163" s="10"/>
      <c r="J163" s="10"/>
      <c r="Q163" s="11"/>
    </row>
    <row r="164" spans="1:17" s="1" customFormat="1" x14ac:dyDescent="0.25">
      <c r="A164" s="13"/>
      <c r="B164" s="14"/>
      <c r="C164" s="14"/>
      <c r="D164" s="14"/>
      <c r="E164" s="14"/>
      <c r="F164" s="15"/>
      <c r="G164" s="26"/>
      <c r="H164" s="26"/>
      <c r="I164" s="10"/>
      <c r="J164" s="10"/>
      <c r="Q164" s="11"/>
    </row>
    <row r="165" spans="1:17" s="1" customFormat="1" ht="15.6" x14ac:dyDescent="0.35">
      <c r="A165" s="13"/>
      <c r="B165" s="276" t="s">
        <v>109</v>
      </c>
      <c r="C165" s="276"/>
      <c r="D165" s="276"/>
      <c r="E165" s="276"/>
      <c r="F165" s="277"/>
      <c r="G165" s="299">
        <f>0*(Carga_primer_eje_tándem*1+Carga_segundo_eje_tándem*(1-Distancia_primer_segundo_eje_tándem/L_superestuctura))</f>
        <v>0</v>
      </c>
      <c r="H165" s="26"/>
      <c r="I165" s="10"/>
      <c r="J165" s="10"/>
      <c r="Q165" s="11"/>
    </row>
    <row r="166" spans="1:17" s="1" customFormat="1" x14ac:dyDescent="0.25">
      <c r="A166" s="13"/>
      <c r="B166" s="14"/>
      <c r="C166" s="14"/>
      <c r="D166" s="14"/>
      <c r="E166" s="14"/>
      <c r="F166" s="15"/>
      <c r="G166" s="26"/>
      <c r="H166" s="26"/>
      <c r="I166" s="10"/>
      <c r="J166" s="10"/>
      <c r="Q166" s="11"/>
    </row>
    <row r="167" spans="1:17" s="1" customFormat="1" x14ac:dyDescent="0.25">
      <c r="A167" s="13" t="s">
        <v>12</v>
      </c>
      <c r="B167" s="95" t="s">
        <v>111</v>
      </c>
      <c r="C167" s="96"/>
      <c r="D167" s="96"/>
      <c r="E167" s="96"/>
      <c r="F167" s="97"/>
      <c r="G167" s="140"/>
      <c r="H167" s="18"/>
      <c r="I167" s="10"/>
      <c r="J167" s="10"/>
      <c r="Q167" s="11"/>
    </row>
    <row r="168" spans="1:17" s="1" customFormat="1" x14ac:dyDescent="0.25">
      <c r="A168" s="13"/>
      <c r="B168" s="98"/>
      <c r="C168" s="99"/>
      <c r="D168" s="99"/>
      <c r="E168" s="99"/>
      <c r="F168" s="100"/>
      <c r="G168" s="141"/>
      <c r="H168" s="26"/>
      <c r="I168" s="10"/>
      <c r="J168" s="10"/>
      <c r="Q168" s="11"/>
    </row>
    <row r="169" spans="1:17" s="1" customFormat="1" ht="15.6" x14ac:dyDescent="0.35">
      <c r="A169" s="13"/>
      <c r="B169" s="131" t="s">
        <v>109</v>
      </c>
      <c r="C169" s="132"/>
      <c r="D169" s="132"/>
      <c r="E169" s="132"/>
      <c r="F169" s="133"/>
      <c r="G169" s="302">
        <f>0.44*g*5</f>
        <v>21.582000000000004</v>
      </c>
      <c r="H169" s="26">
        <f>Carga_carril*(L_superestuctura*1/2)</f>
        <v>144.20000000000002</v>
      </c>
      <c r="I169" s="10"/>
      <c r="J169" s="10"/>
      <c r="Q169" s="11"/>
    </row>
    <row r="170" spans="1:17" s="1" customFormat="1" x14ac:dyDescent="0.25">
      <c r="A170" s="13"/>
      <c r="B170" s="14"/>
      <c r="C170" s="14"/>
      <c r="D170" s="14"/>
      <c r="E170" s="14"/>
      <c r="F170" s="15"/>
      <c r="G170" s="26"/>
      <c r="H170" s="26"/>
      <c r="I170" s="10"/>
      <c r="J170" s="10"/>
      <c r="Q170" s="11"/>
    </row>
    <row r="171" spans="1:17" s="1" customFormat="1" ht="12.75" customHeight="1" x14ac:dyDescent="0.25">
      <c r="A171" s="13" t="s">
        <v>12</v>
      </c>
      <c r="B171" s="27" t="s">
        <v>112</v>
      </c>
      <c r="C171" s="28"/>
      <c r="D171" s="28"/>
      <c r="E171" s="28"/>
      <c r="F171" s="28"/>
      <c r="G171" s="28"/>
      <c r="H171" s="28"/>
      <c r="I171" s="28"/>
      <c r="J171" s="28"/>
      <c r="Q171" s="11"/>
    </row>
    <row r="172" spans="1:17" s="1" customFormat="1" x14ac:dyDescent="0.25">
      <c r="A172" s="13"/>
      <c r="B172" s="28"/>
      <c r="C172" s="28"/>
      <c r="D172" s="28"/>
      <c r="E172" s="28"/>
      <c r="F172" s="28"/>
      <c r="G172" s="28"/>
      <c r="H172" s="28"/>
      <c r="I172" s="28"/>
      <c r="J172" s="28"/>
      <c r="Q172" s="11"/>
    </row>
    <row r="173" spans="1:17" s="1" customFormat="1" x14ac:dyDescent="0.25">
      <c r="A173" s="13"/>
      <c r="B173" s="282" t="s">
        <v>113</v>
      </c>
      <c r="C173" s="283"/>
      <c r="D173" s="283"/>
      <c r="E173" s="283"/>
      <c r="F173" s="283"/>
      <c r="G173" s="300">
        <v>1</v>
      </c>
      <c r="H173" s="28">
        <v>1.33</v>
      </c>
      <c r="I173" s="28"/>
      <c r="J173" s="28"/>
      <c r="Q173" s="11"/>
    </row>
    <row r="174" spans="1:17" s="1" customFormat="1" x14ac:dyDescent="0.25">
      <c r="A174" s="13"/>
      <c r="B174" s="285" t="s">
        <v>114</v>
      </c>
      <c r="C174" s="286"/>
      <c r="D174" s="286"/>
      <c r="E174" s="286"/>
      <c r="F174" s="286"/>
      <c r="G174" s="301">
        <v>1</v>
      </c>
      <c r="H174" s="28"/>
      <c r="I174" s="28"/>
      <c r="J174" s="28"/>
      <c r="Q174" s="11"/>
    </row>
    <row r="175" spans="1:17" s="1" customFormat="1" x14ac:dyDescent="0.25">
      <c r="A175" s="13"/>
      <c r="B175" s="28"/>
      <c r="C175" s="28"/>
      <c r="D175" s="28"/>
      <c r="E175" s="28"/>
      <c r="F175" s="28"/>
      <c r="G175" s="28"/>
      <c r="H175" s="28"/>
      <c r="I175" s="28"/>
      <c r="J175" s="28"/>
      <c r="Q175" s="11"/>
    </row>
    <row r="176" spans="1:17" s="1" customFormat="1" ht="15.6" x14ac:dyDescent="0.35">
      <c r="A176" s="13"/>
      <c r="B176" s="260" t="s">
        <v>115</v>
      </c>
      <c r="C176" s="261"/>
      <c r="D176" s="261"/>
      <c r="E176" s="261"/>
      <c r="F176" s="262"/>
      <c r="G176" s="287">
        <f>Factor_carga_dinámica*Carga_camión_estribo+Factor_presencia_múltiple*Carga_carril_estribo</f>
        <v>21.582000000000004</v>
      </c>
      <c r="H176" s="26"/>
      <c r="I176" s="10"/>
      <c r="J176" s="10"/>
      <c r="Q176" s="11"/>
    </row>
    <row r="177" spans="1:17" s="1" customFormat="1" ht="15.6" x14ac:dyDescent="0.35">
      <c r="A177" s="13"/>
      <c r="B177" s="271" t="s">
        <v>116</v>
      </c>
      <c r="C177" s="272"/>
      <c r="D177" s="272"/>
      <c r="E177" s="272"/>
      <c r="F177" s="273"/>
      <c r="G177" s="288">
        <f>R_A_UN_CARRIL</f>
        <v>21.582000000000004</v>
      </c>
      <c r="H177" s="26">
        <f>2*R_A_UN_CARRIL</f>
        <v>43.164000000000009</v>
      </c>
      <c r="I177" s="10"/>
      <c r="J177" s="10"/>
      <c r="Q177" s="11"/>
    </row>
    <row r="178" spans="1:17" s="1" customFormat="1" x14ac:dyDescent="0.25">
      <c r="A178" s="13"/>
      <c r="B178" s="14"/>
      <c r="C178" s="14"/>
      <c r="D178" s="14"/>
      <c r="E178" s="14"/>
      <c r="F178" s="15"/>
      <c r="G178" s="29"/>
      <c r="H178" s="26"/>
      <c r="I178" s="10"/>
      <c r="J178" s="10"/>
      <c r="Q178" s="11"/>
    </row>
    <row r="179" spans="1:17" s="1" customFormat="1" x14ac:dyDescent="0.25">
      <c r="A179" s="13"/>
      <c r="B179" s="95" t="s">
        <v>117</v>
      </c>
      <c r="C179" s="96"/>
      <c r="D179" s="96"/>
      <c r="E179" s="96"/>
      <c r="F179" s="97"/>
      <c r="G179" s="144"/>
      <c r="H179" s="145"/>
      <c r="I179" s="10"/>
      <c r="J179" s="10"/>
      <c r="Q179" s="11"/>
    </row>
    <row r="180" spans="1:17" s="1" customFormat="1" x14ac:dyDescent="0.25">
      <c r="A180" s="13"/>
      <c r="B180" s="98"/>
      <c r="C180" s="99"/>
      <c r="D180" s="99"/>
      <c r="E180" s="99"/>
      <c r="F180" s="100"/>
      <c r="G180" s="146"/>
      <c r="H180" s="141"/>
      <c r="I180" s="10"/>
      <c r="J180" s="10"/>
      <c r="Q180" s="11"/>
    </row>
    <row r="181" spans="1:17" s="1" customFormat="1" ht="15.6" x14ac:dyDescent="0.35">
      <c r="A181" s="13"/>
      <c r="B181" s="131" t="s">
        <v>118</v>
      </c>
      <c r="C181" s="132"/>
      <c r="D181" s="132"/>
      <c r="E181" s="132"/>
      <c r="F181" s="133"/>
      <c r="G181" s="404">
        <f>R_A_DOS_CARRILES/Largo_estribo</f>
        <v>7.1940000000000017</v>
      </c>
      <c r="H181" s="405"/>
      <c r="I181" s="10"/>
      <c r="J181" s="10"/>
      <c r="Q181" s="11"/>
    </row>
    <row r="182" spans="1:17" s="1" customFormat="1" x14ac:dyDescent="0.25">
      <c r="A182" s="13"/>
      <c r="B182" s="14"/>
      <c r="C182" s="14"/>
      <c r="D182" s="14"/>
      <c r="E182" s="14"/>
      <c r="F182" s="15"/>
      <c r="G182" s="26"/>
      <c r="H182" s="26"/>
      <c r="I182" s="10"/>
      <c r="J182" s="10"/>
      <c r="Q182" s="11"/>
    </row>
    <row r="183" spans="1:17" s="1" customFormat="1" x14ac:dyDescent="0.25">
      <c r="A183" s="13"/>
      <c r="B183" s="95" t="s">
        <v>119</v>
      </c>
      <c r="C183" s="96"/>
      <c r="D183" s="96"/>
      <c r="E183" s="96"/>
      <c r="F183" s="97"/>
      <c r="G183" s="147"/>
      <c r="H183" s="145"/>
      <c r="I183" s="10"/>
      <c r="J183" s="10"/>
      <c r="Q183" s="11"/>
    </row>
    <row r="184" spans="1:17" s="1" customFormat="1" x14ac:dyDescent="0.25">
      <c r="A184" s="13"/>
      <c r="B184" s="98"/>
      <c r="C184" s="99"/>
      <c r="D184" s="99"/>
      <c r="E184" s="99"/>
      <c r="F184" s="100"/>
      <c r="G184" s="148"/>
      <c r="H184" s="141"/>
      <c r="I184" s="10"/>
      <c r="J184" s="10"/>
      <c r="Q184" s="11"/>
    </row>
    <row r="185" spans="1:17" s="1" customFormat="1" ht="15.6" x14ac:dyDescent="0.35">
      <c r="A185" s="13"/>
      <c r="B185" s="131" t="s">
        <v>120</v>
      </c>
      <c r="C185" s="132"/>
      <c r="D185" s="132"/>
      <c r="E185" s="132"/>
      <c r="F185" s="133"/>
      <c r="G185" s="412">
        <f>R_A_estribo*X_A</f>
        <v>8.9925000000000015</v>
      </c>
      <c r="H185" s="413"/>
      <c r="I185" s="10"/>
      <c r="J185" s="10"/>
      <c r="Q185" s="11"/>
    </row>
    <row r="186" spans="1:17" s="1" customFormat="1" x14ac:dyDescent="0.25">
      <c r="A186" s="13"/>
      <c r="B186" s="14"/>
      <c r="C186" s="14"/>
      <c r="D186" s="14"/>
      <c r="E186" s="14"/>
      <c r="F186" s="15"/>
      <c r="G186" s="26"/>
      <c r="H186" s="26"/>
      <c r="I186" s="10"/>
      <c r="J186" s="10"/>
      <c r="Q186" s="11"/>
    </row>
    <row r="187" spans="1:17" s="1" customFormat="1" ht="12.75" customHeight="1" x14ac:dyDescent="0.3">
      <c r="A187" s="9">
        <f>A57+1</f>
        <v>3</v>
      </c>
      <c r="B187" s="5" t="s">
        <v>121</v>
      </c>
      <c r="C187" s="10"/>
      <c r="D187" s="10"/>
      <c r="E187" s="10"/>
      <c r="F187" s="10"/>
      <c r="G187" s="10"/>
      <c r="H187" s="10"/>
      <c r="I187" s="10"/>
      <c r="J187" s="10"/>
    </row>
    <row r="188" spans="1:17" s="1" customFormat="1" x14ac:dyDescent="0.25">
      <c r="A188" s="13"/>
      <c r="B188" s="14"/>
      <c r="C188" s="14"/>
      <c r="D188" s="14"/>
      <c r="E188" s="14"/>
      <c r="F188" s="15"/>
      <c r="G188" s="26"/>
      <c r="H188" s="26"/>
      <c r="I188" s="10"/>
      <c r="J188" s="10"/>
      <c r="Q188" s="11"/>
    </row>
    <row r="189" spans="1:17" s="1" customFormat="1" ht="12.75" customHeight="1" x14ac:dyDescent="0.25">
      <c r="A189" s="13" t="s">
        <v>12</v>
      </c>
      <c r="B189" s="282" t="s">
        <v>122</v>
      </c>
      <c r="C189" s="283"/>
      <c r="D189" s="283"/>
      <c r="E189" s="283"/>
      <c r="F189" s="283"/>
      <c r="G189" s="284"/>
      <c r="H189" s="28"/>
      <c r="I189" s="28"/>
      <c r="J189" s="28"/>
      <c r="Q189" s="11"/>
    </row>
    <row r="190" spans="1:17" s="1" customFormat="1" x14ac:dyDescent="0.25">
      <c r="A190" s="13"/>
      <c r="B190" s="264"/>
      <c r="C190" s="265"/>
      <c r="D190" s="265"/>
      <c r="E190" s="265"/>
      <c r="F190" s="266"/>
      <c r="G190" s="281"/>
      <c r="H190" s="26"/>
      <c r="I190" s="10"/>
      <c r="J190" s="10"/>
      <c r="Q190" s="11"/>
    </row>
    <row r="191" spans="1:17" s="1" customFormat="1" x14ac:dyDescent="0.25">
      <c r="A191" s="13"/>
      <c r="B191" s="271" t="s">
        <v>123</v>
      </c>
      <c r="C191" s="272"/>
      <c r="D191" s="272"/>
      <c r="E191" s="272"/>
      <c r="F191" s="273"/>
      <c r="G191" s="288">
        <v>0</v>
      </c>
      <c r="H191" s="26">
        <f>2*0.25*MAX(Carga_camión,Carga_tándem)*Factor_presencia_múltiple</f>
        <v>180</v>
      </c>
      <c r="I191" s="10"/>
      <c r="J191" s="10"/>
      <c r="Q191" s="11"/>
    </row>
    <row r="192" spans="1:17" s="1" customFormat="1" x14ac:dyDescent="0.25">
      <c r="A192" s="13"/>
      <c r="B192" s="14"/>
      <c r="C192" s="14"/>
      <c r="D192" s="14"/>
      <c r="E192" s="14"/>
      <c r="F192" s="15"/>
      <c r="G192" s="26"/>
      <c r="H192" s="26"/>
      <c r="I192" s="10"/>
      <c r="J192" s="10"/>
      <c r="Q192" s="11"/>
    </row>
    <row r="193" spans="1:17" s="1" customFormat="1" ht="12.75" customHeight="1" x14ac:dyDescent="0.25">
      <c r="A193" s="13" t="s">
        <v>12</v>
      </c>
      <c r="B193" s="27" t="s">
        <v>124</v>
      </c>
      <c r="C193" s="28"/>
      <c r="D193" s="28"/>
      <c r="E193" s="28"/>
      <c r="F193" s="28"/>
      <c r="G193" s="28"/>
      <c r="H193" s="28"/>
      <c r="I193" s="28"/>
      <c r="J193" s="28"/>
      <c r="Q193" s="11"/>
    </row>
    <row r="194" spans="1:17" s="1" customFormat="1" x14ac:dyDescent="0.25">
      <c r="A194" s="13"/>
      <c r="B194" s="14"/>
      <c r="C194" s="14"/>
      <c r="D194" s="14"/>
      <c r="E194" s="14"/>
      <c r="F194" s="15"/>
      <c r="G194" s="26"/>
      <c r="H194" s="26"/>
      <c r="I194" s="10"/>
      <c r="J194" s="10"/>
      <c r="Q194" s="11"/>
    </row>
    <row r="195" spans="1:17" s="1" customFormat="1" x14ac:dyDescent="0.25">
      <c r="A195" s="13"/>
      <c r="B195" s="14" t="s">
        <v>123</v>
      </c>
      <c r="C195" s="14"/>
      <c r="D195" s="14"/>
      <c r="E195" s="14"/>
      <c r="F195" s="15"/>
      <c r="G195" s="29">
        <v>0</v>
      </c>
      <c r="H195" s="26">
        <f>2*0.05*(MAX(Carga_camión,Carga_tándem)+Carga_carril*L_superestuctura)</f>
        <v>64.840000000000018</v>
      </c>
      <c r="I195" s="10"/>
      <c r="J195" s="10"/>
      <c r="Q195" s="11"/>
    </row>
    <row r="196" spans="1:17" s="1" customFormat="1" x14ac:dyDescent="0.25">
      <c r="A196" s="13"/>
      <c r="B196" s="14"/>
      <c r="C196" s="14"/>
      <c r="D196" s="14"/>
      <c r="E196" s="14"/>
      <c r="F196" s="15"/>
      <c r="G196" s="26"/>
      <c r="H196" s="26"/>
      <c r="I196" s="10"/>
      <c r="J196" s="10"/>
      <c r="Q196" s="11"/>
    </row>
    <row r="197" spans="1:17" s="1" customFormat="1" x14ac:dyDescent="0.25">
      <c r="A197" s="13"/>
      <c r="B197" s="260" t="s">
        <v>125</v>
      </c>
      <c r="C197" s="261"/>
      <c r="D197" s="261"/>
      <c r="E197" s="261"/>
      <c r="F197" s="262"/>
      <c r="G197" s="289"/>
      <c r="H197" s="290"/>
      <c r="I197" s="10"/>
      <c r="J197" s="10"/>
      <c r="Q197" s="11"/>
    </row>
    <row r="198" spans="1:17" s="1" customFormat="1" x14ac:dyDescent="0.25">
      <c r="A198" s="13"/>
      <c r="B198" s="264"/>
      <c r="C198" s="265"/>
      <c r="D198" s="265"/>
      <c r="E198" s="265"/>
      <c r="F198" s="266"/>
      <c r="G198" s="291"/>
      <c r="H198" s="281"/>
      <c r="I198" s="10"/>
      <c r="J198" s="10"/>
      <c r="Q198" s="11"/>
    </row>
    <row r="199" spans="1:17" s="1" customFormat="1" x14ac:dyDescent="0.25">
      <c r="A199" s="13"/>
      <c r="B199" s="271" t="s">
        <v>123</v>
      </c>
      <c r="C199" s="272"/>
      <c r="D199" s="272"/>
      <c r="E199" s="272"/>
      <c r="F199" s="273"/>
      <c r="G199" s="414">
        <f>MAX(BR_1,BR_2)/Largo_estribo</f>
        <v>0</v>
      </c>
      <c r="H199" s="415"/>
      <c r="I199" s="10"/>
      <c r="J199" s="10"/>
      <c r="Q199" s="11"/>
    </row>
    <row r="200" spans="1:17" s="1" customFormat="1" x14ac:dyDescent="0.25">
      <c r="A200" s="13"/>
      <c r="B200" s="14"/>
      <c r="C200" s="14"/>
      <c r="D200" s="14"/>
      <c r="E200" s="14"/>
      <c r="F200" s="15"/>
      <c r="G200" s="26"/>
      <c r="H200" s="26"/>
      <c r="I200" s="10"/>
      <c r="J200" s="10"/>
      <c r="Q200" s="11"/>
    </row>
    <row r="201" spans="1:17" s="1" customFormat="1" x14ac:dyDescent="0.25">
      <c r="A201" s="13"/>
      <c r="B201" s="14" t="s">
        <v>126</v>
      </c>
      <c r="C201" s="14"/>
      <c r="D201" s="14"/>
      <c r="E201" s="14"/>
      <c r="F201" s="15"/>
      <c r="G201" s="26"/>
      <c r="H201" s="26"/>
      <c r="I201" s="10"/>
      <c r="J201" s="10"/>
      <c r="Q201" s="11"/>
    </row>
    <row r="202" spans="1:17" s="1" customFormat="1" x14ac:dyDescent="0.25">
      <c r="A202" s="13"/>
      <c r="B202" s="14"/>
      <c r="C202" s="14"/>
      <c r="D202" s="14"/>
      <c r="E202" s="14"/>
      <c r="F202" s="15"/>
      <c r="G202" s="26"/>
      <c r="H202" s="26"/>
      <c r="I202" s="10"/>
      <c r="J202" s="10"/>
      <c r="Q202" s="11"/>
    </row>
    <row r="203" spans="1:17" s="1" customFormat="1" x14ac:dyDescent="0.25">
      <c r="A203" s="13"/>
      <c r="B203" s="260" t="s">
        <v>127</v>
      </c>
      <c r="C203" s="261"/>
      <c r="D203" s="261"/>
      <c r="E203" s="261"/>
      <c r="F203" s="262"/>
      <c r="G203" s="292">
        <v>1.8</v>
      </c>
      <c r="H203" s="290"/>
      <c r="I203" s="10"/>
      <c r="J203" s="10"/>
      <c r="Q203" s="11"/>
    </row>
    <row r="204" spans="1:17" s="1" customFormat="1" ht="15.6" x14ac:dyDescent="0.35">
      <c r="A204" s="13"/>
      <c r="B204" s="271" t="s">
        <v>128</v>
      </c>
      <c r="C204" s="272"/>
      <c r="D204" s="272"/>
      <c r="E204" s="272"/>
      <c r="F204" s="273"/>
      <c r="G204" s="416">
        <f>BR*(Altura_estribo+Altura_frenado)</f>
        <v>0</v>
      </c>
      <c r="H204" s="417"/>
      <c r="I204" s="10"/>
      <c r="J204" s="10"/>
      <c r="Q204" s="11"/>
    </row>
    <row r="205" spans="1:17" s="1" customFormat="1" x14ac:dyDescent="0.25">
      <c r="A205" s="13"/>
      <c r="B205" s="14"/>
      <c r="C205" s="14"/>
      <c r="D205" s="14"/>
      <c r="E205" s="14"/>
      <c r="F205" s="15"/>
      <c r="G205" s="26"/>
      <c r="H205" s="26"/>
      <c r="I205" s="10"/>
      <c r="J205" s="10"/>
      <c r="Q205" s="11"/>
    </row>
    <row r="206" spans="1:17" s="1" customFormat="1" ht="12.75" customHeight="1" x14ac:dyDescent="0.3">
      <c r="A206" s="9">
        <f>A187+1</f>
        <v>4</v>
      </c>
      <c r="B206" s="5" t="s">
        <v>129</v>
      </c>
      <c r="C206" s="10"/>
      <c r="D206" s="10"/>
      <c r="E206" s="10"/>
      <c r="F206" s="10"/>
      <c r="G206" s="10"/>
      <c r="H206" s="10"/>
      <c r="I206" s="10"/>
      <c r="J206" s="10"/>
    </row>
    <row r="207" spans="1:17" s="1" customFormat="1" x14ac:dyDescent="0.25">
      <c r="A207" s="13"/>
      <c r="B207" s="14"/>
      <c r="C207" s="14"/>
      <c r="D207" s="14"/>
      <c r="E207" s="14"/>
      <c r="F207" s="15"/>
      <c r="G207" s="26"/>
      <c r="H207" s="26"/>
      <c r="I207" s="10"/>
      <c r="J207" s="10"/>
      <c r="Q207" s="11"/>
    </row>
    <row r="208" spans="1:17" s="1" customFormat="1" x14ac:dyDescent="0.3">
      <c r="A208" s="30">
        <v>1</v>
      </c>
      <c r="B208" s="5" t="s">
        <v>130</v>
      </c>
      <c r="C208" s="10"/>
      <c r="D208" s="10"/>
      <c r="E208" s="10"/>
      <c r="F208" s="10"/>
      <c r="G208" s="10"/>
      <c r="H208" s="10"/>
      <c r="I208" s="10"/>
      <c r="J208" s="10"/>
      <c r="Q208" s="11"/>
    </row>
    <row r="209" spans="1:17" s="1" customFormat="1" x14ac:dyDescent="0.3">
      <c r="A209" s="30"/>
      <c r="B209" s="5"/>
      <c r="C209" s="10"/>
      <c r="D209" s="10"/>
      <c r="E209" s="10"/>
      <c r="F209" s="10"/>
      <c r="G209" s="10"/>
      <c r="H209" s="10"/>
      <c r="I209" s="10"/>
      <c r="J209" s="10"/>
      <c r="Q209" s="11"/>
    </row>
    <row r="210" spans="1:17" s="17" customFormat="1" ht="15.6" x14ac:dyDescent="0.3">
      <c r="B210" s="304" t="s">
        <v>131</v>
      </c>
      <c r="C210" s="304" t="s">
        <v>132</v>
      </c>
      <c r="D210" s="304" t="s">
        <v>133</v>
      </c>
      <c r="E210" s="304" t="s">
        <v>134</v>
      </c>
      <c r="F210" s="304" t="s">
        <v>135</v>
      </c>
      <c r="G210" s="304" t="s">
        <v>136</v>
      </c>
    </row>
    <row r="211" spans="1:17" s="17" customFormat="1" x14ac:dyDescent="0.3">
      <c r="B211" s="303" t="s">
        <v>137</v>
      </c>
      <c r="C211" s="305">
        <f>ϒ_concreto*(Ancho_base_estribo+Ancho_talón_estribo)*AVERAGE(Altura_base_estribo,Altura_talón_estribo)</f>
        <v>30.576000000000001</v>
      </c>
      <c r="D211" s="305">
        <f>SUM(Ancho_base_estribo,Ancho_talón_estribo)/2</f>
        <v>1.3</v>
      </c>
      <c r="E211" s="305">
        <f>AVERAGE(Altura_base_estribo,Altura_talón_estribo)/2</f>
        <v>0.25</v>
      </c>
      <c r="F211" s="305">
        <f>$C211*D211</f>
        <v>39.748800000000003</v>
      </c>
      <c r="G211" s="305">
        <f>$C211*E211</f>
        <v>7.6440000000000001</v>
      </c>
    </row>
    <row r="212" spans="1:17" s="17" customFormat="1" x14ac:dyDescent="0.3">
      <c r="B212" s="304" t="s">
        <v>61</v>
      </c>
      <c r="C212" s="305">
        <f>ϒ_concreto*Espesor_vástago_estribo*Altura_vástago_estribo</f>
        <v>13.523999999999999</v>
      </c>
      <c r="D212" s="305">
        <f>SUM(Ancho_base_estribo,-Espesor_vástago_estribo/2)</f>
        <v>1.25</v>
      </c>
      <c r="E212" s="305">
        <f>SUM(AVERAGE(Altura_base_estribo,Altura_talón_estribo),Altura_vástago_estribo/2)</f>
        <v>1.075</v>
      </c>
      <c r="F212" s="305">
        <f t="shared" ref="F212:G215" si="0">$C212*D212</f>
        <v>16.904999999999998</v>
      </c>
      <c r="G212" s="305">
        <f t="shared" si="0"/>
        <v>14.538299999999998</v>
      </c>
    </row>
    <row r="213" spans="1:17" s="17" customFormat="1" x14ac:dyDescent="0.3">
      <c r="B213" s="304" t="s">
        <v>65</v>
      </c>
      <c r="C213" s="304">
        <f>ϒ_concreto*Espesor_espaldar_estribo*Altura_espaldar_estribo</f>
        <v>7.9380000000000006</v>
      </c>
      <c r="D213" s="305">
        <f>SUM(Ancho_base_estribo,Espesor_espaldar_estribo/2)</f>
        <v>1.625</v>
      </c>
      <c r="E213" s="305">
        <f>SUM(AVERAGE(Altura_base_estribo,Altura_talón_estribo),Distancia_base_espaldar,Altura_espaldar_estribo/2)</f>
        <v>2.5250000000000004</v>
      </c>
      <c r="F213" s="305">
        <f t="shared" si="0"/>
        <v>12.89925</v>
      </c>
      <c r="G213" s="305">
        <f t="shared" si="0"/>
        <v>20.043450000000004</v>
      </c>
    </row>
    <row r="214" spans="1:17" s="17" customFormat="1" x14ac:dyDescent="0.3">
      <c r="B214" s="304" t="s">
        <v>67</v>
      </c>
      <c r="C214" s="306">
        <f>(Cantidad_topes_estribo*ϒ_concreto*Ancho_tope_estribo*Altura_tope_estribo*Largo_tope_estribo)/Largo_estribo</f>
        <v>1.2700799999999999</v>
      </c>
      <c r="D214" s="305">
        <f>SUM(Ancho_base_estribo,-Ancho_tope_estribo/2)</f>
        <v>1.2749999999999999</v>
      </c>
      <c r="E214" s="305">
        <f>SUM(AVERAGE(Altura_base_estribo,Altura_talón_estribo),Altura_vástago_estribo,Altura_tope_estribo/2)</f>
        <v>1.95</v>
      </c>
      <c r="F214" s="305">
        <f t="shared" si="0"/>
        <v>1.6193519999999997</v>
      </c>
      <c r="G214" s="305">
        <f t="shared" si="0"/>
        <v>2.4766559999999997</v>
      </c>
    </row>
    <row r="215" spans="1:17" s="17" customFormat="1" x14ac:dyDescent="0.3">
      <c r="B215" s="304" t="s">
        <v>69</v>
      </c>
      <c r="C215" s="307">
        <f>(Cantidad_aletas_estribo*ϒ_concreto*(Altura_aleta_estribo*Ancho_aleta_estribo-Espesor_espaldar_estribo*Altura_espaldar_estribo)*AVERAGE(Espesor_aleta_base_estribo,Espesor_aleta_corona_estribo))/(Largo_estribo)</f>
        <v>10.436999999999999</v>
      </c>
      <c r="D215" s="308">
        <f>(Ancho_estribo-(Ancho_talón_estribo-Espesor_espaldar_estribo)/2)</f>
        <v>2.1749999999999998</v>
      </c>
      <c r="E215" s="308">
        <f>SUM(Altura_aleta_estribo*Espesor_aleta_corona_estribo*(Altura_aleta_estribo/2+Altura_base_estribo),0.5*Altura_aleta_estribo*(Espesor_aleta_base_estribo-Espesor_aleta_corona_estribo)*(Altura_aleta_estribo/3+Altura_base_estribo))/SUM(Altura_aleta_estribo*Espesor_aleta_corona_estribo,0.5*Altura_aleta_estribo*(Espesor_aleta_base_estribo-Espesor_aleta_corona_estribo))</f>
        <v>1.75</v>
      </c>
      <c r="F215" s="305">
        <f t="shared" si="0"/>
        <v>22.700474999999997</v>
      </c>
      <c r="G215" s="305">
        <f t="shared" si="0"/>
        <v>18.264749999999999</v>
      </c>
    </row>
    <row r="216" spans="1:17" s="17" customFormat="1" x14ac:dyDescent="0.3">
      <c r="B216" s="304" t="s">
        <v>138</v>
      </c>
      <c r="C216" s="304">
        <f>SUM(C211:C215)</f>
        <v>63.745080000000002</v>
      </c>
      <c r="D216" s="305"/>
      <c r="E216" s="305"/>
      <c r="F216" s="304">
        <f>SUM(F211:F215)</f>
        <v>93.872877000000003</v>
      </c>
      <c r="G216" s="304">
        <f>SUM(G211:G215)</f>
        <v>62.967156000000003</v>
      </c>
    </row>
    <row r="217" spans="1:17" s="17" customFormat="1" x14ac:dyDescent="0.3">
      <c r="B217" s="31"/>
      <c r="C217" s="31"/>
    </row>
    <row r="218" spans="1:17" s="17" customFormat="1" x14ac:dyDescent="0.3">
      <c r="B218" s="31" t="s">
        <v>139</v>
      </c>
      <c r="C218" s="31"/>
    </row>
    <row r="219" spans="1:17" s="17" customFormat="1" x14ac:dyDescent="0.3">
      <c r="B219" s="31"/>
      <c r="C219" s="31"/>
    </row>
    <row r="220" spans="1:17" s="17" customFormat="1" ht="15.6" x14ac:dyDescent="0.3">
      <c r="B220" s="149" t="s">
        <v>94</v>
      </c>
      <c r="C220" s="161"/>
      <c r="D220" s="161"/>
      <c r="E220" s="161"/>
      <c r="F220" s="161"/>
      <c r="G220" s="162">
        <f>DC_XA_estribo/DC_estribo</f>
        <v>1.4726293699843187</v>
      </c>
    </row>
    <row r="221" spans="1:17" s="1" customFormat="1" ht="15.6" x14ac:dyDescent="0.3">
      <c r="A221" s="30"/>
      <c r="B221" s="157" t="s">
        <v>140</v>
      </c>
      <c r="C221" s="139"/>
      <c r="D221" s="139"/>
      <c r="E221" s="139"/>
      <c r="F221" s="139"/>
      <c r="G221" s="163">
        <f>DC_YA_estribo/DC_estribo</f>
        <v>0.98779632875196022</v>
      </c>
      <c r="H221" s="10"/>
      <c r="I221" s="10"/>
      <c r="J221" s="10"/>
      <c r="Q221" s="11"/>
    </row>
    <row r="222" spans="1:17" s="1" customFormat="1" x14ac:dyDescent="0.3">
      <c r="A222" s="30"/>
      <c r="B222" s="5"/>
      <c r="C222" s="10"/>
      <c r="D222" s="10"/>
      <c r="E222" s="10"/>
      <c r="F222" s="10"/>
      <c r="G222" s="10"/>
      <c r="H222" s="10"/>
      <c r="I222" s="10"/>
      <c r="J222" s="10"/>
      <c r="Q222" s="11"/>
    </row>
    <row r="223" spans="1:17" s="1" customFormat="1" x14ac:dyDescent="0.3">
      <c r="A223" s="30">
        <f>A208+1</f>
        <v>2</v>
      </c>
      <c r="B223" s="5" t="s">
        <v>141</v>
      </c>
      <c r="C223" s="10"/>
      <c r="D223" s="10"/>
      <c r="E223" s="10"/>
      <c r="F223" s="10"/>
      <c r="G223" s="10"/>
      <c r="H223" s="10"/>
      <c r="I223" s="10"/>
      <c r="J223" s="10"/>
      <c r="Q223" s="11"/>
    </row>
    <row r="224" spans="1:17" s="1" customFormat="1" x14ac:dyDescent="0.3">
      <c r="A224" s="30"/>
      <c r="B224" s="5"/>
      <c r="C224" s="10"/>
      <c r="D224" s="10"/>
      <c r="E224" s="10"/>
      <c r="F224" s="10"/>
      <c r="G224" s="10"/>
      <c r="H224" s="10"/>
      <c r="I224" s="10"/>
      <c r="J224" s="10"/>
      <c r="Q224" s="11"/>
    </row>
    <row r="225" spans="1:17" s="17" customFormat="1" x14ac:dyDescent="0.3">
      <c r="B225" s="31" t="s">
        <v>142</v>
      </c>
      <c r="G225" s="380">
        <f>ϒ_suelo</f>
        <v>19.61</v>
      </c>
      <c r="H225" s="380"/>
    </row>
    <row r="226" spans="1:17" s="1" customFormat="1" x14ac:dyDescent="0.3">
      <c r="A226" s="25"/>
      <c r="B226" s="5"/>
      <c r="C226" s="10"/>
      <c r="D226" s="10"/>
      <c r="E226" s="10"/>
      <c r="F226" s="10"/>
      <c r="G226" s="10"/>
      <c r="H226" s="10"/>
      <c r="I226" s="10"/>
      <c r="J226" s="10"/>
      <c r="Q226" s="11"/>
    </row>
    <row r="227" spans="1:17" s="17" customFormat="1" ht="15.6" x14ac:dyDescent="0.3">
      <c r="B227" s="149" t="s">
        <v>131</v>
      </c>
      <c r="C227" s="150" t="s">
        <v>132</v>
      </c>
      <c r="D227" s="150" t="s">
        <v>133</v>
      </c>
      <c r="E227" s="150" t="s">
        <v>134</v>
      </c>
      <c r="F227" s="150" t="s">
        <v>135</v>
      </c>
      <c r="G227" s="151" t="s">
        <v>136</v>
      </c>
    </row>
    <row r="228" spans="1:17" s="17" customFormat="1" x14ac:dyDescent="0.3">
      <c r="B228" s="154">
        <v>6</v>
      </c>
      <c r="C228" s="155">
        <f>ϒ_suelo*(Altura_aleta_estribo*Ancho_aleta_estribo-Espesor_espaldar_estribo*Altura_espaldar_estribo)</f>
        <v>52.211624999999998</v>
      </c>
      <c r="D228" s="156">
        <f>Ancho_estribo-(Ancho_talón_estribo-Espesor_espaldar_estribo)/2</f>
        <v>2.1749999999999998</v>
      </c>
      <c r="E228" s="156">
        <f>SUM(AVERAGE(Altura_base_estribo,Altura_talón_estribo),Altura_aleta_estribo/2)</f>
        <v>1.75</v>
      </c>
      <c r="F228" s="152">
        <f>$C228*D228</f>
        <v>113.56028437499998</v>
      </c>
      <c r="G228" s="153">
        <f>$C228*E228</f>
        <v>91.370343749999989</v>
      </c>
    </row>
    <row r="229" spans="1:17" s="17" customFormat="1" x14ac:dyDescent="0.3">
      <c r="B229" s="157" t="s">
        <v>138</v>
      </c>
      <c r="C229" s="158">
        <f>SUM(C228:C228)</f>
        <v>52.211624999999998</v>
      </c>
      <c r="D229" s="159"/>
      <c r="E229" s="159"/>
      <c r="F229" s="158">
        <f>SUM(F228:F228)</f>
        <v>113.56028437499998</v>
      </c>
      <c r="G229" s="160">
        <f>SUM(G228:G228)</f>
        <v>91.370343749999989</v>
      </c>
    </row>
    <row r="230" spans="1:17" s="1" customFormat="1" x14ac:dyDescent="0.3">
      <c r="A230" s="25"/>
      <c r="B230" s="5"/>
      <c r="C230" s="10"/>
      <c r="D230" s="10"/>
      <c r="E230" s="10"/>
      <c r="F230" s="10"/>
      <c r="G230" s="10"/>
      <c r="H230" s="10"/>
      <c r="I230" s="10"/>
      <c r="J230" s="10"/>
      <c r="Q230" s="11"/>
    </row>
    <row r="231" spans="1:17" s="17" customFormat="1" x14ac:dyDescent="0.3">
      <c r="B231" s="31" t="s">
        <v>143</v>
      </c>
      <c r="C231" s="31"/>
    </row>
    <row r="232" spans="1:17" s="17" customFormat="1" x14ac:dyDescent="0.3">
      <c r="B232" s="31"/>
      <c r="C232" s="31"/>
    </row>
    <row r="233" spans="1:17" s="17" customFormat="1" ht="15.6" x14ac:dyDescent="0.3">
      <c r="B233" s="149" t="s">
        <v>94</v>
      </c>
      <c r="C233" s="161"/>
      <c r="D233" s="161"/>
      <c r="E233" s="161"/>
      <c r="F233" s="161"/>
      <c r="G233" s="162">
        <f>DC_XA_relleno/DC_relleno</f>
        <v>2.1749999999999998</v>
      </c>
    </row>
    <row r="234" spans="1:17" s="1" customFormat="1" ht="15.6" x14ac:dyDescent="0.3">
      <c r="A234" s="30"/>
      <c r="B234" s="157" t="s">
        <v>140</v>
      </c>
      <c r="C234" s="139"/>
      <c r="D234" s="139"/>
      <c r="E234" s="139"/>
      <c r="F234" s="139"/>
      <c r="G234" s="163">
        <f>DC_YA_relleno/DC_relleno</f>
        <v>1.7499999999999998</v>
      </c>
      <c r="H234" s="10"/>
      <c r="I234" s="10"/>
      <c r="J234" s="10"/>
      <c r="Q234" s="11"/>
    </row>
    <row r="235" spans="1:17" s="1" customFormat="1" x14ac:dyDescent="0.3">
      <c r="A235" s="30"/>
      <c r="B235" s="5"/>
      <c r="C235" s="10"/>
      <c r="D235" s="10"/>
      <c r="E235" s="10"/>
      <c r="F235" s="10"/>
      <c r="G235" s="10"/>
      <c r="H235" s="10"/>
      <c r="I235" s="10"/>
      <c r="J235" s="10"/>
      <c r="Q235" s="11"/>
    </row>
    <row r="236" spans="1:17" s="1" customFormat="1" ht="12.75" customHeight="1" x14ac:dyDescent="0.3">
      <c r="A236" s="9">
        <f>A206+1</f>
        <v>5</v>
      </c>
      <c r="B236" s="5" t="s">
        <v>144</v>
      </c>
      <c r="C236" s="10"/>
      <c r="D236" s="10"/>
      <c r="E236" s="10"/>
      <c r="F236" s="10"/>
      <c r="G236" s="10"/>
      <c r="H236" s="10"/>
      <c r="I236" s="10"/>
      <c r="J236" s="10"/>
    </row>
    <row r="237" spans="1:17" s="1" customFormat="1" x14ac:dyDescent="0.3">
      <c r="A237" s="25"/>
      <c r="B237" s="5"/>
      <c r="C237" s="10"/>
      <c r="D237" s="10"/>
      <c r="E237" s="10"/>
      <c r="F237" s="10"/>
      <c r="G237" s="10"/>
      <c r="H237" s="10"/>
      <c r="I237" s="10"/>
      <c r="J237" s="10"/>
      <c r="Q237" s="11"/>
    </row>
    <row r="238" spans="1:17" s="1" customFormat="1" ht="12.75" customHeight="1" x14ac:dyDescent="0.3">
      <c r="A238" s="25"/>
      <c r="B238" s="377" t="s">
        <v>145</v>
      </c>
      <c r="C238" s="377"/>
      <c r="D238" s="377"/>
      <c r="E238" s="377"/>
      <c r="F238" s="377"/>
      <c r="G238" s="377"/>
      <c r="H238" s="377"/>
      <c r="I238" s="377"/>
      <c r="J238" s="377"/>
      <c r="Q238" s="11"/>
    </row>
    <row r="239" spans="1:17" s="1" customFormat="1" x14ac:dyDescent="0.3">
      <c r="A239" s="25"/>
      <c r="B239" s="377"/>
      <c r="C239" s="377"/>
      <c r="D239" s="377"/>
      <c r="E239" s="377"/>
      <c r="F239" s="377"/>
      <c r="G239" s="377"/>
      <c r="H239" s="377"/>
      <c r="I239" s="377"/>
      <c r="J239" s="377"/>
      <c r="Q239" s="11"/>
    </row>
    <row r="240" spans="1:17" s="1" customFormat="1" x14ac:dyDescent="0.3">
      <c r="A240" s="25"/>
      <c r="B240" s="377"/>
      <c r="C240" s="377"/>
      <c r="D240" s="377"/>
      <c r="E240" s="377"/>
      <c r="F240" s="377"/>
      <c r="G240" s="377"/>
      <c r="H240" s="377"/>
      <c r="I240" s="377"/>
      <c r="J240" s="377"/>
      <c r="Q240" s="11"/>
    </row>
    <row r="241" spans="1:17" s="1" customFormat="1" x14ac:dyDescent="0.3">
      <c r="A241" s="25"/>
      <c r="B241" s="377"/>
      <c r="C241" s="377"/>
      <c r="D241" s="377"/>
      <c r="E241" s="377"/>
      <c r="F241" s="377"/>
      <c r="G241" s="377"/>
      <c r="H241" s="377"/>
      <c r="I241" s="377"/>
      <c r="J241" s="377"/>
      <c r="Q241" s="11"/>
    </row>
    <row r="242" spans="1:17" s="1" customFormat="1" x14ac:dyDescent="0.3">
      <c r="A242" s="25"/>
      <c r="B242" s="32"/>
      <c r="C242" s="32"/>
      <c r="D242" s="32"/>
      <c r="E242" s="32"/>
      <c r="F242" s="32"/>
      <c r="G242" s="32"/>
      <c r="H242" s="32"/>
      <c r="I242" s="32"/>
      <c r="J242" s="32"/>
      <c r="Q242" s="11"/>
    </row>
    <row r="243" spans="1:17" s="1" customFormat="1" x14ac:dyDescent="0.3">
      <c r="A243" s="25"/>
      <c r="B243" s="377" t="s">
        <v>146</v>
      </c>
      <c r="C243" s="377"/>
      <c r="D243" s="377"/>
      <c r="E243" s="377"/>
      <c r="F243" s="377"/>
      <c r="G243" s="377"/>
      <c r="H243" s="377"/>
      <c r="I243" s="377"/>
      <c r="J243" s="377"/>
      <c r="Q243" s="11"/>
    </row>
    <row r="244" spans="1:17" s="1" customFormat="1" x14ac:dyDescent="0.3">
      <c r="A244" s="25"/>
      <c r="B244" s="377"/>
      <c r="C244" s="377"/>
      <c r="D244" s="377"/>
      <c r="E244" s="377"/>
      <c r="F244" s="377"/>
      <c r="G244" s="377"/>
      <c r="H244" s="377"/>
      <c r="I244" s="377"/>
      <c r="J244" s="377"/>
      <c r="Q244" s="11"/>
    </row>
    <row r="245" spans="1:17" s="1" customFormat="1" x14ac:dyDescent="0.3">
      <c r="A245" s="25"/>
      <c r="B245" s="5"/>
      <c r="C245" s="10"/>
      <c r="D245" s="10"/>
      <c r="E245" s="10"/>
      <c r="F245" s="10"/>
      <c r="G245" s="10"/>
      <c r="H245" s="10"/>
      <c r="I245" s="10"/>
      <c r="J245" s="10"/>
      <c r="Q245" s="11"/>
    </row>
    <row r="246" spans="1:17" s="1" customFormat="1" ht="15.6" x14ac:dyDescent="0.3">
      <c r="A246" s="25"/>
      <c r="B246" s="33" t="s">
        <v>147</v>
      </c>
      <c r="C246" s="10"/>
      <c r="D246" s="10"/>
      <c r="E246" s="10"/>
      <c r="F246" s="10"/>
      <c r="G246" s="18" t="s">
        <v>148</v>
      </c>
      <c r="H246" s="10"/>
      <c r="I246" s="10"/>
      <c r="J246" s="10"/>
      <c r="Q246" s="11"/>
    </row>
    <row r="247" spans="1:17" s="1" customFormat="1" x14ac:dyDescent="0.3">
      <c r="A247" s="25"/>
      <c r="B247" s="5"/>
      <c r="C247" s="10"/>
      <c r="D247" s="10"/>
      <c r="E247" s="10"/>
      <c r="F247" s="10"/>
      <c r="G247" s="10"/>
      <c r="H247" s="10"/>
      <c r="I247" s="10"/>
      <c r="J247" s="10"/>
      <c r="Q247" s="11"/>
    </row>
    <row r="248" spans="1:17" s="1" customFormat="1" x14ac:dyDescent="0.3">
      <c r="A248" s="34"/>
      <c r="B248" s="33" t="s">
        <v>149</v>
      </c>
      <c r="C248" s="10"/>
      <c r="D248" s="10"/>
      <c r="E248" s="10"/>
      <c r="F248" s="10"/>
      <c r="G248" s="10"/>
      <c r="H248" s="10"/>
      <c r="I248" s="10"/>
      <c r="J248" s="10"/>
      <c r="Q248" s="35"/>
    </row>
    <row r="249" spans="1:17" s="1" customFormat="1" x14ac:dyDescent="0.3">
      <c r="A249" s="34"/>
      <c r="B249" s="33"/>
      <c r="C249" s="10"/>
      <c r="D249" s="10"/>
      <c r="E249" s="10"/>
      <c r="F249" s="10"/>
      <c r="G249" s="10"/>
      <c r="H249" s="10"/>
      <c r="I249" s="10"/>
      <c r="J249" s="10"/>
      <c r="Q249" s="35"/>
    </row>
    <row r="250" spans="1:17" s="37" customFormat="1" ht="12.75" customHeight="1" x14ac:dyDescent="0.25">
      <c r="A250" s="36" t="s">
        <v>12</v>
      </c>
      <c r="B250" s="142" t="s">
        <v>150</v>
      </c>
      <c r="C250" s="165" t="s">
        <v>151</v>
      </c>
      <c r="D250" s="165"/>
      <c r="E250" s="165"/>
      <c r="F250" s="165"/>
      <c r="G250" s="165"/>
      <c r="H250" s="165"/>
      <c r="I250" s="165"/>
      <c r="J250" s="166"/>
      <c r="Q250" s="11"/>
    </row>
    <row r="251" spans="1:17" s="37" customFormat="1" ht="12.75" customHeight="1" x14ac:dyDescent="0.25">
      <c r="A251" s="36" t="s">
        <v>12</v>
      </c>
      <c r="B251" s="167" t="s">
        <v>152</v>
      </c>
      <c r="C251" s="168" t="s">
        <v>153</v>
      </c>
      <c r="D251" s="168"/>
      <c r="E251" s="168"/>
      <c r="F251" s="168"/>
      <c r="G251" s="409">
        <f>ϒ_suelo</f>
        <v>19.61</v>
      </c>
      <c r="H251" s="409"/>
      <c r="I251" s="168"/>
      <c r="J251" s="169"/>
      <c r="Q251" s="11"/>
    </row>
    <row r="252" spans="1:17" s="37" customFormat="1" ht="12.75" customHeight="1" x14ac:dyDescent="0.3">
      <c r="A252" s="36" t="s">
        <v>12</v>
      </c>
      <c r="B252" s="167" t="s">
        <v>6</v>
      </c>
      <c r="C252" s="168" t="s">
        <v>154</v>
      </c>
      <c r="D252" s="168"/>
      <c r="E252" s="168"/>
      <c r="F252" s="168"/>
      <c r="G252" s="410">
        <f>(1-SIN(RADIANS(G16)))/(1+SIN(RADIANS(G16)))</f>
        <v>0.33333333333333331</v>
      </c>
      <c r="H252" s="410"/>
      <c r="I252" s="168"/>
      <c r="J252" s="169"/>
      <c r="Q252" s="11"/>
    </row>
    <row r="253" spans="1:17" s="37" customFormat="1" ht="12.75" customHeight="1" x14ac:dyDescent="0.25">
      <c r="A253" s="36" t="s">
        <v>12</v>
      </c>
      <c r="B253" s="170" t="s">
        <v>155</v>
      </c>
      <c r="C253" s="171" t="s">
        <v>156</v>
      </c>
      <c r="D253" s="171"/>
      <c r="E253" s="171"/>
      <c r="F253" s="171"/>
      <c r="G253" s="172">
        <f>VLOOKUP(Altura_estribo*1000,L255:M257,2,TRUE)</f>
        <v>900</v>
      </c>
      <c r="H253" s="172" t="s">
        <v>157</v>
      </c>
      <c r="I253" s="171"/>
      <c r="J253" s="173"/>
      <c r="L253" s="37" t="s">
        <v>158</v>
      </c>
      <c r="Q253" s="11"/>
    </row>
    <row r="254" spans="1:17" s="37" customFormat="1" x14ac:dyDescent="0.3">
      <c r="A254" s="34"/>
      <c r="B254" s="33"/>
      <c r="C254" s="18"/>
      <c r="D254" s="18"/>
      <c r="E254" s="18"/>
      <c r="F254" s="18"/>
      <c r="G254" s="18"/>
      <c r="H254" s="18"/>
      <c r="I254" s="18"/>
      <c r="J254" s="18"/>
      <c r="L254" s="37" t="s">
        <v>159</v>
      </c>
      <c r="M254" s="37" t="s">
        <v>160</v>
      </c>
      <c r="Q254" s="35"/>
    </row>
    <row r="255" spans="1:17" s="37" customFormat="1" x14ac:dyDescent="0.25">
      <c r="A255" s="36" t="s">
        <v>12</v>
      </c>
      <c r="B255" s="174" t="s">
        <v>150</v>
      </c>
      <c r="C255" s="175"/>
      <c r="D255" s="175"/>
      <c r="E255" s="175"/>
      <c r="F255" s="175"/>
      <c r="G255" s="411">
        <f>k*ϒ_suelo*h_eq*0.000000001</f>
        <v>5.8830000000000003E-6</v>
      </c>
      <c r="H255" s="411"/>
      <c r="I255" s="175"/>
      <c r="J255" s="176"/>
      <c r="L255" s="37">
        <v>1500</v>
      </c>
      <c r="M255" s="37">
        <v>1200</v>
      </c>
      <c r="Q255" s="35"/>
    </row>
    <row r="256" spans="1:17" s="37" customFormat="1" x14ac:dyDescent="0.3">
      <c r="A256" s="34"/>
      <c r="B256" s="33"/>
      <c r="C256" s="18"/>
      <c r="D256" s="18"/>
      <c r="E256" s="18"/>
      <c r="F256" s="18"/>
      <c r="G256" s="18"/>
      <c r="H256" s="18"/>
      <c r="I256" s="18"/>
      <c r="J256" s="18"/>
      <c r="L256" s="37">
        <v>3000</v>
      </c>
      <c r="M256" s="37">
        <v>900</v>
      </c>
      <c r="Q256" s="35"/>
    </row>
    <row r="257" spans="1:17" s="37" customFormat="1" x14ac:dyDescent="0.3">
      <c r="A257" s="34"/>
      <c r="B257" s="33" t="s">
        <v>161</v>
      </c>
      <c r="C257" s="18"/>
      <c r="D257" s="18"/>
      <c r="E257" s="18"/>
      <c r="F257" s="18"/>
      <c r="G257" s="18"/>
      <c r="H257" s="18"/>
      <c r="I257" s="18"/>
      <c r="J257" s="18"/>
      <c r="L257" s="38">
        <v>6000</v>
      </c>
      <c r="M257" s="37">
        <v>600</v>
      </c>
      <c r="Q257" s="35"/>
    </row>
    <row r="258" spans="1:17" s="37" customFormat="1" x14ac:dyDescent="0.3">
      <c r="A258" s="34"/>
      <c r="B258" s="33"/>
      <c r="C258" s="18"/>
      <c r="D258" s="18"/>
      <c r="E258" s="18"/>
      <c r="F258" s="18"/>
      <c r="G258" s="18"/>
      <c r="H258" s="18"/>
      <c r="I258" s="18"/>
      <c r="J258" s="18"/>
      <c r="Q258" s="35"/>
    </row>
    <row r="259" spans="1:17" s="37" customFormat="1" ht="13.8" x14ac:dyDescent="0.3">
      <c r="A259" s="34"/>
      <c r="B259" s="33" t="s">
        <v>162</v>
      </c>
      <c r="C259" s="18"/>
      <c r="D259" s="18"/>
      <c r="E259" s="18"/>
      <c r="F259" s="18"/>
      <c r="G259" s="18"/>
      <c r="H259" s="18"/>
      <c r="I259" s="18"/>
      <c r="J259" s="18"/>
      <c r="Q259" s="35"/>
    </row>
    <row r="260" spans="1:17" s="37" customFormat="1" x14ac:dyDescent="0.3">
      <c r="A260" s="34"/>
      <c r="B260" s="33"/>
      <c r="C260" s="18"/>
      <c r="D260" s="18"/>
      <c r="E260" s="18"/>
      <c r="F260" s="18"/>
      <c r="G260" s="18"/>
      <c r="H260" s="18"/>
      <c r="I260" s="18"/>
      <c r="J260" s="18"/>
      <c r="Q260" s="35"/>
    </row>
    <row r="261" spans="1:17" s="37" customFormat="1" x14ac:dyDescent="0.25">
      <c r="A261" s="36" t="s">
        <v>12</v>
      </c>
      <c r="B261" s="174" t="s">
        <v>150</v>
      </c>
      <c r="C261" s="175"/>
      <c r="D261" s="175"/>
      <c r="E261" s="175"/>
      <c r="F261" s="175"/>
      <c r="G261" s="334">
        <f>k*ϒ_suelo*h_eq/1000</f>
        <v>5.883</v>
      </c>
      <c r="H261" s="335"/>
      <c r="I261" s="168"/>
      <c r="J261" s="168"/>
      <c r="Q261" s="35"/>
    </row>
    <row r="262" spans="1:17" s="1" customFormat="1" x14ac:dyDescent="0.3">
      <c r="A262" s="34"/>
      <c r="B262" s="33"/>
      <c r="C262" s="10"/>
      <c r="D262" s="10"/>
      <c r="E262" s="10"/>
      <c r="F262" s="10"/>
      <c r="G262" s="10"/>
      <c r="H262" s="10"/>
      <c r="I262" s="10"/>
      <c r="J262" s="10"/>
      <c r="Q262" s="35"/>
    </row>
    <row r="263" spans="1:17" s="1" customFormat="1" ht="12.75" customHeight="1" x14ac:dyDescent="0.3">
      <c r="A263" s="34"/>
      <c r="B263" s="377" t="s">
        <v>163</v>
      </c>
      <c r="C263" s="377"/>
      <c r="D263" s="377"/>
      <c r="E263" s="377"/>
      <c r="F263" s="377"/>
      <c r="G263" s="377"/>
      <c r="H263" s="377"/>
      <c r="I263" s="377"/>
      <c r="J263" s="377"/>
      <c r="Q263" s="35"/>
    </row>
    <row r="264" spans="1:17" s="1" customFormat="1" x14ac:dyDescent="0.3">
      <c r="A264" s="34"/>
      <c r="B264" s="377"/>
      <c r="C264" s="377"/>
      <c r="D264" s="377"/>
      <c r="E264" s="377"/>
      <c r="F264" s="377"/>
      <c r="G264" s="377"/>
      <c r="H264" s="377"/>
      <c r="I264" s="377"/>
      <c r="J264" s="377"/>
      <c r="Q264" s="35"/>
    </row>
    <row r="265" spans="1:17" s="1" customFormat="1" x14ac:dyDescent="0.3">
      <c r="A265" s="34"/>
      <c r="B265" s="377"/>
      <c r="C265" s="377"/>
      <c r="D265" s="377"/>
      <c r="E265" s="377"/>
      <c r="F265" s="377"/>
      <c r="G265" s="377"/>
      <c r="H265" s="377"/>
      <c r="I265" s="377"/>
      <c r="J265" s="377"/>
      <c r="Q265" s="35"/>
    </row>
    <row r="266" spans="1:17" s="1" customFormat="1" x14ac:dyDescent="0.3">
      <c r="A266" s="34"/>
      <c r="B266" s="377"/>
      <c r="C266" s="377"/>
      <c r="D266" s="377"/>
      <c r="E266" s="377"/>
      <c r="F266" s="377"/>
      <c r="G266" s="377"/>
      <c r="H266" s="377"/>
      <c r="I266" s="377"/>
      <c r="J266" s="377"/>
      <c r="Q266" s="35"/>
    </row>
    <row r="267" spans="1:17" s="1" customFormat="1" x14ac:dyDescent="0.3">
      <c r="A267" s="34"/>
      <c r="B267" s="377"/>
      <c r="C267" s="377"/>
      <c r="D267" s="377"/>
      <c r="E267" s="377"/>
      <c r="F267" s="377"/>
      <c r="G267" s="377"/>
      <c r="H267" s="377"/>
      <c r="I267" s="377"/>
      <c r="J267" s="377"/>
      <c r="Q267" s="35"/>
    </row>
    <row r="268" spans="1:17" s="1" customFormat="1" x14ac:dyDescent="0.3">
      <c r="A268" s="34"/>
      <c r="B268" s="33"/>
      <c r="C268" s="10"/>
      <c r="D268" s="10"/>
      <c r="E268" s="10"/>
      <c r="F268" s="10"/>
      <c r="G268" s="10"/>
      <c r="H268" s="10"/>
      <c r="I268" s="10"/>
      <c r="J268" s="10"/>
      <c r="Q268" s="35"/>
    </row>
    <row r="269" spans="1:17" s="1" customFormat="1" x14ac:dyDescent="0.3">
      <c r="A269" s="39">
        <f>1</f>
        <v>1</v>
      </c>
      <c r="B269" s="5" t="s">
        <v>164</v>
      </c>
      <c r="C269" s="10"/>
      <c r="D269" s="10"/>
      <c r="E269" s="10"/>
      <c r="F269" s="10"/>
      <c r="G269" s="10"/>
      <c r="H269" s="10"/>
      <c r="I269" s="10"/>
      <c r="J269" s="10"/>
      <c r="Q269" s="11"/>
    </row>
    <row r="270" spans="1:17" s="1" customFormat="1" x14ac:dyDescent="0.3">
      <c r="A270" s="34"/>
      <c r="B270" s="33"/>
      <c r="C270" s="10"/>
      <c r="D270" s="10"/>
      <c r="E270" s="10"/>
      <c r="F270" s="10"/>
      <c r="G270" s="10"/>
      <c r="H270" s="10"/>
      <c r="I270" s="10"/>
      <c r="J270" s="10"/>
      <c r="Q270" s="35"/>
    </row>
    <row r="271" spans="1:17" s="37" customFormat="1" ht="15.6" x14ac:dyDescent="0.35">
      <c r="A271" s="36" t="s">
        <v>12</v>
      </c>
      <c r="B271" s="174" t="s">
        <v>165</v>
      </c>
      <c r="C271" s="175"/>
      <c r="D271" s="175"/>
      <c r="E271" s="175"/>
      <c r="F271" s="175"/>
      <c r="G271" s="334">
        <f>Δp*Altura_estribo</f>
        <v>17.649000000000001</v>
      </c>
      <c r="H271" s="335"/>
      <c r="I271" s="27"/>
      <c r="J271" s="27"/>
      <c r="Q271" s="35"/>
    </row>
    <row r="272" spans="1:17" s="37" customFormat="1" ht="15.6" x14ac:dyDescent="0.35">
      <c r="A272" s="36" t="s">
        <v>12</v>
      </c>
      <c r="B272" s="174" t="s">
        <v>166</v>
      </c>
      <c r="C272" s="175"/>
      <c r="D272" s="175"/>
      <c r="E272" s="175"/>
      <c r="F272" s="175"/>
      <c r="G272" s="334">
        <f>LS_X*Altura_estribo/2</f>
        <v>26.473500000000001</v>
      </c>
      <c r="H272" s="335"/>
      <c r="I272" s="27"/>
      <c r="J272" s="27"/>
      <c r="Q272" s="35"/>
    </row>
    <row r="273" spans="1:17" s="1" customFormat="1" x14ac:dyDescent="0.3">
      <c r="A273" s="34"/>
      <c r="B273" s="33"/>
      <c r="C273" s="10"/>
      <c r="D273" s="10"/>
      <c r="E273" s="10"/>
      <c r="F273" s="10"/>
      <c r="G273" s="10"/>
      <c r="H273" s="10"/>
      <c r="I273" s="10"/>
      <c r="J273" s="10"/>
      <c r="Q273" s="35"/>
    </row>
    <row r="274" spans="1:17" s="1" customFormat="1" x14ac:dyDescent="0.3">
      <c r="A274" s="39">
        <f>A269+1</f>
        <v>2</v>
      </c>
      <c r="B274" s="5" t="s">
        <v>167</v>
      </c>
      <c r="C274" s="10"/>
      <c r="D274" s="10"/>
      <c r="E274" s="10"/>
      <c r="F274" s="10"/>
      <c r="G274" s="10"/>
      <c r="H274" s="10"/>
      <c r="I274" s="10"/>
      <c r="J274" s="10"/>
      <c r="Q274" s="11"/>
    </row>
    <row r="275" spans="1:17" s="1" customFormat="1" x14ac:dyDescent="0.3">
      <c r="A275" s="34"/>
      <c r="B275" s="33"/>
      <c r="C275" s="10"/>
      <c r="D275" s="10"/>
      <c r="E275" s="10"/>
      <c r="F275" s="10"/>
      <c r="G275" s="10"/>
      <c r="H275" s="10"/>
      <c r="I275" s="10"/>
      <c r="J275" s="10"/>
      <c r="Q275" s="35"/>
    </row>
    <row r="276" spans="1:17" s="37" customFormat="1" ht="15.6" x14ac:dyDescent="0.35">
      <c r="A276" s="36" t="s">
        <v>12</v>
      </c>
      <c r="B276" s="174" t="s">
        <v>168</v>
      </c>
      <c r="C276" s="175"/>
      <c r="D276" s="175"/>
      <c r="E276" s="175"/>
      <c r="F276" s="175"/>
      <c r="G276" s="334">
        <f>Δp*(Ancho_talón_estribo-Espesor_espaldar_estribo)</f>
        <v>5.0005500000000005</v>
      </c>
      <c r="H276" s="335"/>
      <c r="I276" s="27"/>
      <c r="J276" s="27"/>
      <c r="Q276" s="35"/>
    </row>
    <row r="277" spans="1:17" s="37" customFormat="1" ht="15.6" x14ac:dyDescent="0.35">
      <c r="A277" s="36" t="s">
        <v>12</v>
      </c>
      <c r="B277" s="143" t="s">
        <v>166</v>
      </c>
      <c r="C277" s="171"/>
      <c r="D277" s="171"/>
      <c r="E277" s="171"/>
      <c r="F277" s="171"/>
      <c r="G277" s="383">
        <f>LS_Y*(Ancho_estribo-(Ancho_talón_estribo-Espesor_espaldar_estribo)/2)</f>
        <v>10.87619625</v>
      </c>
      <c r="H277" s="384"/>
      <c r="I277" s="27"/>
      <c r="J277" s="27"/>
      <c r="Q277" s="35"/>
    </row>
    <row r="278" spans="1:17" s="1" customFormat="1" x14ac:dyDescent="0.3">
      <c r="A278" s="34"/>
      <c r="B278" s="33"/>
      <c r="C278" s="10"/>
      <c r="D278" s="10"/>
      <c r="E278" s="10"/>
      <c r="F278" s="10"/>
      <c r="G278" s="10"/>
      <c r="H278" s="10"/>
      <c r="I278" s="10"/>
      <c r="J278" s="10"/>
      <c r="Q278" s="35"/>
    </row>
    <row r="279" spans="1:17" s="1" customFormat="1" ht="12.75" customHeight="1" x14ac:dyDescent="0.3">
      <c r="A279" s="9">
        <f>A236+1</f>
        <v>6</v>
      </c>
      <c r="B279" s="5" t="s">
        <v>169</v>
      </c>
      <c r="C279" s="10"/>
      <c r="D279" s="10"/>
      <c r="E279" s="10"/>
      <c r="F279" s="10"/>
      <c r="G279" s="10"/>
      <c r="H279" s="10"/>
      <c r="I279" s="10"/>
      <c r="J279" s="10"/>
    </row>
    <row r="280" spans="1:17" s="1" customFormat="1" x14ac:dyDescent="0.3">
      <c r="A280" s="34"/>
      <c r="B280" s="33"/>
      <c r="C280" s="10"/>
      <c r="D280" s="10"/>
      <c r="E280" s="10"/>
      <c r="F280" s="10"/>
      <c r="G280" s="10"/>
      <c r="H280" s="10"/>
      <c r="I280" s="10"/>
      <c r="J280" s="10"/>
      <c r="Q280" s="35"/>
    </row>
    <row r="281" spans="1:17" s="1" customFormat="1" x14ac:dyDescent="0.3">
      <c r="A281" s="34"/>
      <c r="B281" s="33" t="s">
        <v>170</v>
      </c>
      <c r="C281" s="10"/>
      <c r="D281" s="10"/>
      <c r="E281" s="10"/>
      <c r="F281" s="10"/>
      <c r="G281" s="10"/>
      <c r="H281" s="10"/>
      <c r="I281" s="10"/>
      <c r="J281" s="10"/>
      <c r="Q281" s="35"/>
    </row>
    <row r="282" spans="1:17" s="1" customFormat="1" ht="15.6" x14ac:dyDescent="0.3">
      <c r="A282" s="34"/>
      <c r="B282" s="184" t="s">
        <v>107</v>
      </c>
      <c r="C282" s="164" t="s">
        <v>171</v>
      </c>
      <c r="D282" s="164" t="s">
        <v>172</v>
      </c>
      <c r="E282" s="164" t="s">
        <v>94</v>
      </c>
      <c r="F282" s="185" t="s">
        <v>95</v>
      </c>
      <c r="G282" s="10"/>
      <c r="H282" s="10"/>
      <c r="I282" s="10"/>
      <c r="J282" s="10"/>
      <c r="Q282" s="35"/>
    </row>
    <row r="283" spans="1:17" s="1" customFormat="1" x14ac:dyDescent="0.3">
      <c r="A283" s="34"/>
      <c r="B283" s="177" t="s">
        <v>173</v>
      </c>
      <c r="C283" s="136" t="s">
        <v>174</v>
      </c>
      <c r="D283" s="178">
        <f>DC_estribo</f>
        <v>63.745080000000002</v>
      </c>
      <c r="E283" s="179">
        <f>G220</f>
        <v>1.4726293699843187</v>
      </c>
      <c r="F283" s="125">
        <f t="shared" ref="F283:F288" si="1">D283*E283</f>
        <v>93.872877000000003</v>
      </c>
      <c r="G283" s="10"/>
      <c r="H283" s="10"/>
      <c r="I283" s="10"/>
      <c r="J283" s="10"/>
      <c r="Q283" s="35"/>
    </row>
    <row r="284" spans="1:17" s="1" customFormat="1" x14ac:dyDescent="0.3">
      <c r="A284" s="34"/>
      <c r="B284" s="177" t="s">
        <v>173</v>
      </c>
      <c r="C284" s="136" t="s">
        <v>175</v>
      </c>
      <c r="D284" s="178">
        <f>DC</f>
        <v>4.1953333333333331</v>
      </c>
      <c r="E284" s="136">
        <f>X_A</f>
        <v>1.25</v>
      </c>
      <c r="F284" s="125">
        <f t="shared" si="1"/>
        <v>5.2441666666666666</v>
      </c>
      <c r="G284" s="10"/>
      <c r="H284" s="10"/>
      <c r="I284" s="10"/>
      <c r="J284" s="10"/>
      <c r="Q284" s="35"/>
    </row>
    <row r="285" spans="1:17" s="1" customFormat="1" x14ac:dyDescent="0.3">
      <c r="A285" s="34"/>
      <c r="B285" s="177" t="s">
        <v>90</v>
      </c>
      <c r="C285" s="136" t="s">
        <v>176</v>
      </c>
      <c r="D285" s="178">
        <f>DW_por_longitud</f>
        <v>0</v>
      </c>
      <c r="E285" s="180">
        <f>G138</f>
        <v>1.25</v>
      </c>
      <c r="F285" s="125">
        <f t="shared" si="1"/>
        <v>0</v>
      </c>
      <c r="G285" s="10"/>
      <c r="H285" s="10"/>
      <c r="I285" s="10"/>
      <c r="J285" s="10"/>
      <c r="Q285" s="35"/>
    </row>
    <row r="286" spans="1:17" s="1" customFormat="1" x14ac:dyDescent="0.3">
      <c r="A286" s="34"/>
      <c r="B286" s="177" t="s">
        <v>177</v>
      </c>
      <c r="C286" s="136" t="s">
        <v>178</v>
      </c>
      <c r="D286" s="178">
        <f>DC_relleno</f>
        <v>52.211624999999998</v>
      </c>
      <c r="E286" s="179">
        <f>G233</f>
        <v>2.1749999999999998</v>
      </c>
      <c r="F286" s="125">
        <f t="shared" si="1"/>
        <v>113.56028437499998</v>
      </c>
      <c r="G286" s="10"/>
      <c r="H286" s="10"/>
      <c r="I286" s="10"/>
      <c r="J286" s="10"/>
      <c r="Q286" s="35"/>
    </row>
    <row r="287" spans="1:17" s="1" customFormat="1" x14ac:dyDescent="0.3">
      <c r="A287" s="34"/>
      <c r="B287" s="177" t="s">
        <v>179</v>
      </c>
      <c r="C287" s="136" t="s">
        <v>180</v>
      </c>
      <c r="D287" s="178">
        <f>R_A_estribo</f>
        <v>7.1940000000000017</v>
      </c>
      <c r="E287" s="136">
        <f>X_A</f>
        <v>1.25</v>
      </c>
      <c r="F287" s="125">
        <f t="shared" si="1"/>
        <v>8.9925000000000015</v>
      </c>
      <c r="G287" s="10"/>
      <c r="H287" s="10"/>
      <c r="I287" s="10"/>
      <c r="J287" s="10"/>
      <c r="Q287" s="35"/>
    </row>
    <row r="288" spans="1:17" s="1" customFormat="1" x14ac:dyDescent="0.3">
      <c r="A288" s="34"/>
      <c r="B288" s="181" t="s">
        <v>181</v>
      </c>
      <c r="C288" s="139" t="s">
        <v>182</v>
      </c>
      <c r="D288" s="139">
        <f>LS_Y</f>
        <v>5.0005500000000005</v>
      </c>
      <c r="E288" s="139">
        <f>G277/LS_Y</f>
        <v>2.1749999999999998</v>
      </c>
      <c r="F288" s="127">
        <f t="shared" si="1"/>
        <v>10.87619625</v>
      </c>
      <c r="G288" s="10"/>
      <c r="H288" s="10"/>
      <c r="I288" s="10"/>
      <c r="J288" s="10"/>
      <c r="Q288" s="35"/>
    </row>
    <row r="289" spans="1:17" s="1" customFormat="1" x14ac:dyDescent="0.3">
      <c r="A289" s="34"/>
      <c r="B289" s="181" t="s">
        <v>183</v>
      </c>
      <c r="C289" s="139"/>
      <c r="D289" s="182">
        <f>SUM(D283:D288)</f>
        <v>132.34658833333333</v>
      </c>
      <c r="E289" s="139"/>
      <c r="F289" s="183">
        <f>SUM(F283:F288)</f>
        <v>232.54602429166667</v>
      </c>
      <c r="G289" s="10"/>
      <c r="H289" s="10"/>
      <c r="I289" s="10"/>
      <c r="J289" s="10"/>
      <c r="Q289" s="35"/>
    </row>
    <row r="290" spans="1:17" s="1" customFormat="1" x14ac:dyDescent="0.3">
      <c r="A290" s="34"/>
      <c r="B290" s="33"/>
      <c r="C290" s="10"/>
      <c r="D290" s="10"/>
      <c r="E290" s="10"/>
      <c r="F290" s="10"/>
      <c r="G290" s="10"/>
      <c r="H290" s="10"/>
      <c r="I290" s="10"/>
      <c r="J290" s="10"/>
      <c r="Q290" s="35"/>
    </row>
    <row r="291" spans="1:17" s="1" customFormat="1" ht="12.75" customHeight="1" x14ac:dyDescent="0.3">
      <c r="A291" s="9">
        <f>A279+1</f>
        <v>7</v>
      </c>
      <c r="B291" s="5" t="s">
        <v>184</v>
      </c>
      <c r="C291" s="10"/>
      <c r="D291" s="10"/>
      <c r="E291" s="10"/>
      <c r="F291" s="10"/>
      <c r="G291" s="10"/>
      <c r="H291" s="10"/>
      <c r="I291" s="10"/>
      <c r="J291" s="10"/>
    </row>
    <row r="292" spans="1:17" s="1" customFormat="1" x14ac:dyDescent="0.3">
      <c r="A292" s="34"/>
      <c r="B292" s="33"/>
      <c r="C292" s="10"/>
      <c r="D292" s="10"/>
      <c r="E292" s="10"/>
      <c r="F292" s="10"/>
      <c r="G292" s="10"/>
      <c r="H292" s="10"/>
      <c r="I292" s="10"/>
      <c r="J292" s="10"/>
      <c r="Q292" s="35"/>
    </row>
    <row r="293" spans="1:17" s="1" customFormat="1" x14ac:dyDescent="0.3">
      <c r="A293" s="40">
        <f>1</f>
        <v>1</v>
      </c>
      <c r="B293" s="5" t="s">
        <v>185</v>
      </c>
      <c r="C293" s="10"/>
      <c r="D293" s="10"/>
      <c r="E293" s="10"/>
      <c r="F293" s="10"/>
      <c r="G293" s="10"/>
      <c r="H293" s="10"/>
      <c r="I293" s="10"/>
      <c r="J293" s="10"/>
      <c r="Q293" s="11"/>
    </row>
    <row r="294" spans="1:17" s="1" customFormat="1" x14ac:dyDescent="0.3">
      <c r="A294" s="34"/>
      <c r="B294" s="33"/>
      <c r="C294" s="10"/>
      <c r="D294" s="10"/>
      <c r="E294" s="10"/>
      <c r="F294" s="10"/>
      <c r="G294" s="10"/>
      <c r="H294" s="10"/>
      <c r="I294" s="10"/>
      <c r="J294" s="10"/>
      <c r="Q294" s="35"/>
    </row>
    <row r="295" spans="1:17" s="37" customFormat="1" ht="15.6" x14ac:dyDescent="0.35">
      <c r="A295" s="36" t="s">
        <v>12</v>
      </c>
      <c r="B295" s="142" t="s">
        <v>186</v>
      </c>
      <c r="C295" s="165"/>
      <c r="D295" s="165"/>
      <c r="E295" s="165"/>
      <c r="F295" s="165"/>
      <c r="G295" s="186">
        <f>(1-SIN(RADIANS(G16)))/(1+SIN(RADIANS(G16)))</f>
        <v>0.33333333333333331</v>
      </c>
      <c r="H295" s="187"/>
      <c r="I295" s="27"/>
      <c r="J295" s="27"/>
      <c r="Q295" s="35"/>
    </row>
    <row r="296" spans="1:17" s="1" customFormat="1" x14ac:dyDescent="0.3">
      <c r="A296" s="34"/>
      <c r="B296" s="177"/>
      <c r="C296" s="136"/>
      <c r="D296" s="136"/>
      <c r="E296" s="136"/>
      <c r="F296" s="136"/>
      <c r="G296" s="136"/>
      <c r="H296" s="125"/>
      <c r="I296" s="10"/>
      <c r="J296" s="10"/>
      <c r="Q296" s="35"/>
    </row>
    <row r="297" spans="1:17" s="1" customFormat="1" x14ac:dyDescent="0.3">
      <c r="A297" s="34"/>
      <c r="B297" s="177" t="s">
        <v>187</v>
      </c>
      <c r="C297" s="136"/>
      <c r="D297" s="136"/>
      <c r="E297" s="136"/>
      <c r="F297" s="136"/>
      <c r="G297" s="136"/>
      <c r="H297" s="125"/>
      <c r="I297" s="10"/>
      <c r="J297" s="10"/>
      <c r="Q297" s="35"/>
    </row>
    <row r="298" spans="1:17" s="1" customFormat="1" x14ac:dyDescent="0.3">
      <c r="A298" s="34"/>
      <c r="B298" s="177"/>
      <c r="C298" s="136"/>
      <c r="D298" s="136"/>
      <c r="E298" s="136"/>
      <c r="F298" s="136"/>
      <c r="G298" s="136"/>
      <c r="H298" s="125"/>
      <c r="I298" s="10"/>
      <c r="J298" s="10"/>
      <c r="Q298" s="35"/>
    </row>
    <row r="299" spans="1:17" s="37" customFormat="1" x14ac:dyDescent="0.25">
      <c r="A299" s="36" t="s">
        <v>12</v>
      </c>
      <c r="B299" s="188" t="s">
        <v>188</v>
      </c>
      <c r="C299" s="168"/>
      <c r="D299" s="168"/>
      <c r="E299" s="168"/>
      <c r="F299" s="168"/>
      <c r="G299" s="385">
        <f>ϒ_suelo*G295*Altura_estribo^2/2</f>
        <v>29.414999999999999</v>
      </c>
      <c r="H299" s="386"/>
      <c r="I299" s="27"/>
      <c r="J299" s="27"/>
      <c r="Q299" s="35"/>
    </row>
    <row r="300" spans="1:17" s="37" customFormat="1" ht="15.6" x14ac:dyDescent="0.35">
      <c r="A300" s="36" t="s">
        <v>12</v>
      </c>
      <c r="B300" s="188" t="s">
        <v>140</v>
      </c>
      <c r="C300" s="168"/>
      <c r="D300" s="168"/>
      <c r="E300" s="168"/>
      <c r="F300" s="168"/>
      <c r="G300" s="387">
        <f>Altura_estribo/3</f>
        <v>1</v>
      </c>
      <c r="H300" s="388"/>
      <c r="I300" s="27"/>
      <c r="J300" s="27"/>
      <c r="Q300" s="35"/>
    </row>
    <row r="301" spans="1:17" s="1" customFormat="1" x14ac:dyDescent="0.3">
      <c r="A301" s="34"/>
      <c r="B301" s="177"/>
      <c r="C301" s="136"/>
      <c r="D301" s="136"/>
      <c r="E301" s="136"/>
      <c r="F301" s="136"/>
      <c r="G301" s="136"/>
      <c r="H301" s="125"/>
      <c r="I301" s="10"/>
      <c r="J301" s="10"/>
      <c r="Q301" s="35"/>
    </row>
    <row r="302" spans="1:17" s="1" customFormat="1" x14ac:dyDescent="0.3">
      <c r="A302" s="34"/>
      <c r="B302" s="177" t="s">
        <v>189</v>
      </c>
      <c r="C302" s="136"/>
      <c r="D302" s="136"/>
      <c r="E302" s="136"/>
      <c r="F302" s="136"/>
      <c r="G302" s="136"/>
      <c r="H302" s="125"/>
      <c r="I302" s="10"/>
      <c r="J302" s="10"/>
      <c r="Q302" s="35"/>
    </row>
    <row r="303" spans="1:17" s="1" customFormat="1" x14ac:dyDescent="0.3">
      <c r="A303" s="34"/>
      <c r="B303" s="177"/>
      <c r="C303" s="136"/>
      <c r="D303" s="136"/>
      <c r="E303" s="136"/>
      <c r="F303" s="136"/>
      <c r="G303" s="136"/>
      <c r="H303" s="125"/>
      <c r="I303" s="10"/>
      <c r="J303" s="10"/>
      <c r="Q303" s="35"/>
    </row>
    <row r="304" spans="1:17" s="37" customFormat="1" ht="15.6" x14ac:dyDescent="0.35">
      <c r="A304" s="36" t="s">
        <v>12</v>
      </c>
      <c r="B304" s="143" t="s">
        <v>190</v>
      </c>
      <c r="C304" s="171"/>
      <c r="D304" s="171"/>
      <c r="E304" s="171"/>
      <c r="F304" s="171"/>
      <c r="G304" s="381">
        <f>G300*G299</f>
        <v>29.414999999999999</v>
      </c>
      <c r="H304" s="382"/>
      <c r="I304" s="27"/>
      <c r="J304" s="27"/>
      <c r="Q304" s="35"/>
    </row>
    <row r="305" spans="1:17" s="1" customFormat="1" x14ac:dyDescent="0.3">
      <c r="A305" s="34"/>
      <c r="B305" s="33"/>
      <c r="C305" s="10"/>
      <c r="D305" s="10"/>
      <c r="E305" s="10"/>
      <c r="F305" s="10"/>
      <c r="G305" s="10"/>
      <c r="H305" s="10"/>
      <c r="I305" s="10"/>
      <c r="J305" s="10"/>
      <c r="Q305" s="35"/>
    </row>
    <row r="306" spans="1:17" s="1" customFormat="1" x14ac:dyDescent="0.3">
      <c r="A306" s="40">
        <f>A293+1</f>
        <v>2</v>
      </c>
      <c r="B306" s="5" t="s">
        <v>185</v>
      </c>
      <c r="C306" s="10"/>
      <c r="D306" s="10"/>
      <c r="E306" s="10"/>
      <c r="F306" s="10"/>
      <c r="G306" s="10"/>
      <c r="H306" s="10"/>
      <c r="I306" s="10"/>
      <c r="J306" s="10"/>
      <c r="Q306" s="11"/>
    </row>
    <row r="307" spans="1:17" s="1" customFormat="1" x14ac:dyDescent="0.3">
      <c r="A307" s="34"/>
      <c r="B307" s="33"/>
      <c r="C307" s="10"/>
      <c r="D307" s="10"/>
      <c r="E307" s="10"/>
      <c r="F307" s="10"/>
      <c r="G307" s="10"/>
      <c r="H307" s="10"/>
      <c r="I307" s="10"/>
      <c r="J307" s="10"/>
      <c r="Q307" s="35"/>
    </row>
    <row r="308" spans="1:17" s="37" customFormat="1" ht="15.6" x14ac:dyDescent="0.35">
      <c r="A308" s="36" t="s">
        <v>12</v>
      </c>
      <c r="B308" s="174" t="s">
        <v>165</v>
      </c>
      <c r="C308" s="175"/>
      <c r="D308" s="175"/>
      <c r="E308" s="175"/>
      <c r="F308" s="175"/>
      <c r="G308" s="334">
        <f>LS_X</f>
        <v>17.649000000000001</v>
      </c>
      <c r="H308" s="335"/>
      <c r="I308" s="27"/>
      <c r="J308" s="27"/>
      <c r="Q308" s="35"/>
    </row>
    <row r="309" spans="1:17" s="37" customFormat="1" ht="15.6" x14ac:dyDescent="0.35">
      <c r="A309" s="36" t="s">
        <v>12</v>
      </c>
      <c r="B309" s="143" t="s">
        <v>190</v>
      </c>
      <c r="C309" s="171"/>
      <c r="D309" s="171"/>
      <c r="E309" s="171"/>
      <c r="F309" s="171"/>
      <c r="G309" s="381">
        <f>G308*Altura_estribo/2</f>
        <v>26.473500000000001</v>
      </c>
      <c r="H309" s="382"/>
      <c r="I309" s="27"/>
      <c r="J309" s="27"/>
      <c r="Q309" s="35"/>
    </row>
    <row r="310" spans="1:17" s="1" customFormat="1" x14ac:dyDescent="0.3">
      <c r="A310" s="34"/>
      <c r="B310" s="33"/>
      <c r="C310" s="10"/>
      <c r="D310" s="10"/>
      <c r="E310" s="10"/>
      <c r="F310" s="10"/>
      <c r="G310" s="10"/>
      <c r="H310" s="10"/>
      <c r="I310" s="10"/>
      <c r="J310" s="10"/>
      <c r="Q310" s="35"/>
    </row>
    <row r="311" spans="1:17" s="1" customFormat="1" ht="12.75" customHeight="1" x14ac:dyDescent="0.3">
      <c r="A311" s="9">
        <f>A291+1</f>
        <v>8</v>
      </c>
      <c r="B311" s="5" t="s">
        <v>191</v>
      </c>
      <c r="C311" s="10"/>
      <c r="D311" s="10"/>
      <c r="E311" s="10"/>
      <c r="F311" s="10"/>
      <c r="G311" s="10"/>
      <c r="H311" s="10"/>
      <c r="I311" s="10"/>
      <c r="J311" s="10"/>
    </row>
    <row r="312" spans="1:17" s="1" customFormat="1" x14ac:dyDescent="0.3">
      <c r="A312" s="34"/>
      <c r="B312" s="33"/>
      <c r="C312" s="10"/>
      <c r="D312" s="10"/>
      <c r="E312" s="10"/>
      <c r="F312" s="10"/>
      <c r="G312" s="10"/>
      <c r="H312" s="10"/>
      <c r="I312" s="10"/>
      <c r="J312" s="10"/>
      <c r="Q312" s="35"/>
    </row>
    <row r="313" spans="1:17" s="1" customFormat="1" ht="15.75" customHeight="1" x14ac:dyDescent="0.3">
      <c r="A313" s="34"/>
      <c r="B313" s="377" t="s">
        <v>192</v>
      </c>
      <c r="C313" s="377"/>
      <c r="D313" s="377"/>
      <c r="E313" s="377"/>
      <c r="F313" s="377"/>
      <c r="G313" s="377"/>
      <c r="H313" s="377"/>
      <c r="I313" s="377"/>
      <c r="J313" s="377"/>
      <c r="Q313" s="35"/>
    </row>
    <row r="314" spans="1:17" s="1" customFormat="1" x14ac:dyDescent="0.3">
      <c r="A314" s="34"/>
      <c r="B314" s="377"/>
      <c r="C314" s="377"/>
      <c r="D314" s="377"/>
      <c r="E314" s="377"/>
      <c r="F314" s="377"/>
      <c r="G314" s="377"/>
      <c r="H314" s="377"/>
      <c r="I314" s="377"/>
      <c r="J314" s="377"/>
      <c r="Q314" s="35"/>
    </row>
    <row r="315" spans="1:17" s="1" customFormat="1" x14ac:dyDescent="0.3">
      <c r="A315" s="34"/>
      <c r="B315" s="377"/>
      <c r="C315" s="377"/>
      <c r="D315" s="377"/>
      <c r="E315" s="377"/>
      <c r="F315" s="377"/>
      <c r="G315" s="377"/>
      <c r="H315" s="377"/>
      <c r="I315" s="377"/>
      <c r="J315" s="377"/>
      <c r="Q315" s="35"/>
    </row>
    <row r="316" spans="1:17" s="1" customFormat="1" x14ac:dyDescent="0.3">
      <c r="A316" s="34"/>
      <c r="B316" s="377"/>
      <c r="C316" s="377"/>
      <c r="D316" s="377"/>
      <c r="E316" s="377"/>
      <c r="F316" s="377"/>
      <c r="G316" s="377"/>
      <c r="H316" s="377"/>
      <c r="I316" s="377"/>
      <c r="J316" s="377"/>
      <c r="Q316" s="35"/>
    </row>
    <row r="317" spans="1:17" s="1" customFormat="1" x14ac:dyDescent="0.3">
      <c r="A317" s="34"/>
      <c r="B317" s="377"/>
      <c r="C317" s="377"/>
      <c r="D317" s="377"/>
      <c r="E317" s="377"/>
      <c r="F317" s="377"/>
      <c r="G317" s="377"/>
      <c r="H317" s="377"/>
      <c r="I317" s="377"/>
      <c r="J317" s="377"/>
      <c r="Q317" s="35"/>
    </row>
    <row r="318" spans="1:17" s="1" customFormat="1" x14ac:dyDescent="0.3">
      <c r="A318" s="34"/>
      <c r="B318" s="33"/>
      <c r="C318" s="10"/>
      <c r="D318" s="10"/>
      <c r="E318" s="10"/>
      <c r="F318" s="10"/>
      <c r="G318" s="10"/>
      <c r="H318" s="10"/>
      <c r="I318" s="10"/>
      <c r="J318" s="10"/>
      <c r="Q318" s="35"/>
    </row>
    <row r="319" spans="1:17" s="1" customFormat="1" ht="12.75" customHeight="1" x14ac:dyDescent="0.3">
      <c r="A319" s="34"/>
      <c r="B319" s="377" t="s">
        <v>193</v>
      </c>
      <c r="C319" s="377"/>
      <c r="D319" s="377"/>
      <c r="E319" s="377"/>
      <c r="F319" s="377"/>
      <c r="G319" s="377"/>
      <c r="H319" s="377"/>
      <c r="I319" s="377"/>
      <c r="J319" s="377"/>
      <c r="Q319" s="35"/>
    </row>
    <row r="320" spans="1:17" s="1" customFormat="1" x14ac:dyDescent="0.3">
      <c r="A320" s="34"/>
      <c r="B320" s="377"/>
      <c r="C320" s="377"/>
      <c r="D320" s="377"/>
      <c r="E320" s="377"/>
      <c r="F320" s="377"/>
      <c r="G320" s="377"/>
      <c r="H320" s="377"/>
      <c r="I320" s="377"/>
      <c r="J320" s="377"/>
      <c r="Q320" s="35"/>
    </row>
    <row r="321" spans="1:17" s="1" customFormat="1" x14ac:dyDescent="0.3">
      <c r="A321" s="34"/>
      <c r="B321" s="377"/>
      <c r="C321" s="377"/>
      <c r="D321" s="377"/>
      <c r="E321" s="377"/>
      <c r="F321" s="377"/>
      <c r="G321" s="377"/>
      <c r="H321" s="377"/>
      <c r="I321" s="377"/>
      <c r="J321" s="377"/>
      <c r="Q321" s="35"/>
    </row>
    <row r="322" spans="1:17" s="1" customFormat="1" x14ac:dyDescent="0.3">
      <c r="A322" s="34"/>
      <c r="B322" s="377"/>
      <c r="C322" s="377"/>
      <c r="D322" s="377"/>
      <c r="E322" s="377"/>
      <c r="F322" s="377"/>
      <c r="G322" s="377"/>
      <c r="H322" s="377"/>
      <c r="I322" s="377"/>
      <c r="J322" s="377"/>
      <c r="Q322" s="35"/>
    </row>
    <row r="323" spans="1:17" s="1" customFormat="1" x14ac:dyDescent="0.3">
      <c r="A323" s="34"/>
      <c r="B323" s="377"/>
      <c r="C323" s="377"/>
      <c r="D323" s="377"/>
      <c r="E323" s="377"/>
      <c r="F323" s="377"/>
      <c r="G323" s="377"/>
      <c r="H323" s="377"/>
      <c r="I323" s="377"/>
      <c r="J323" s="377"/>
      <c r="Q323" s="35"/>
    </row>
    <row r="324" spans="1:17" s="1" customFormat="1" x14ac:dyDescent="0.3">
      <c r="A324" s="34"/>
      <c r="B324" s="377"/>
      <c r="C324" s="377"/>
      <c r="D324" s="377"/>
      <c r="E324" s="377"/>
      <c r="F324" s="377"/>
      <c r="G324" s="377"/>
      <c r="H324" s="377"/>
      <c r="I324" s="377"/>
      <c r="J324" s="377"/>
      <c r="Q324" s="35"/>
    </row>
    <row r="325" spans="1:17" s="1" customFormat="1" x14ac:dyDescent="0.3">
      <c r="A325" s="34"/>
      <c r="B325" s="33"/>
      <c r="C325" s="10"/>
      <c r="D325" s="10"/>
      <c r="E325" s="10"/>
      <c r="F325" s="10"/>
      <c r="G325" s="10"/>
      <c r="H325" s="10"/>
      <c r="I325" s="10"/>
      <c r="J325" s="10"/>
      <c r="Q325" s="35"/>
    </row>
    <row r="326" spans="1:17" s="1" customFormat="1" x14ac:dyDescent="0.3">
      <c r="A326" s="34"/>
      <c r="B326" s="33" t="s">
        <v>194</v>
      </c>
      <c r="C326" s="10"/>
      <c r="D326" s="10"/>
      <c r="E326" s="10"/>
      <c r="F326" s="10"/>
      <c r="G326" s="10"/>
      <c r="H326" s="10"/>
      <c r="I326" s="10"/>
      <c r="J326" s="10"/>
      <c r="Q326" s="35"/>
    </row>
    <row r="327" spans="1:17" s="1" customFormat="1" x14ac:dyDescent="0.3">
      <c r="A327" s="34"/>
      <c r="B327" s="33"/>
      <c r="C327" s="10"/>
      <c r="D327" s="10"/>
      <c r="E327" s="10"/>
      <c r="F327" s="10"/>
      <c r="G327" s="10"/>
      <c r="H327" s="10"/>
      <c r="I327" s="10"/>
      <c r="J327" s="10"/>
      <c r="Q327" s="35"/>
    </row>
    <row r="328" spans="1:17" s="1" customFormat="1" x14ac:dyDescent="0.3">
      <c r="A328" s="41">
        <f>1</f>
        <v>1</v>
      </c>
      <c r="B328" s="5" t="s">
        <v>195</v>
      </c>
      <c r="C328" s="10"/>
      <c r="D328" s="10"/>
      <c r="E328" s="10"/>
      <c r="F328" s="10"/>
      <c r="G328" s="10"/>
      <c r="H328" s="10"/>
      <c r="I328" s="10"/>
      <c r="J328" s="10"/>
      <c r="Q328" s="11"/>
    </row>
    <row r="329" spans="1:17" s="1" customFormat="1" x14ac:dyDescent="0.3">
      <c r="A329" s="34"/>
      <c r="B329" s="33"/>
      <c r="C329" s="10"/>
      <c r="D329" s="10"/>
      <c r="E329" s="10"/>
      <c r="F329" s="10"/>
      <c r="G329" s="10"/>
      <c r="H329" s="10"/>
      <c r="I329" s="10"/>
      <c r="J329" s="10"/>
      <c r="Q329" s="35"/>
    </row>
    <row r="330" spans="1:17" s="1" customFormat="1" ht="15.6" x14ac:dyDescent="0.3">
      <c r="A330" s="42">
        <f>1</f>
        <v>1</v>
      </c>
      <c r="B330" s="5" t="s">
        <v>196</v>
      </c>
      <c r="C330" s="10"/>
      <c r="D330" s="10"/>
      <c r="E330" s="10"/>
      <c r="F330" s="10"/>
      <c r="G330" s="10"/>
      <c r="H330" s="10"/>
      <c r="I330" s="10"/>
      <c r="J330" s="10"/>
      <c r="Q330" s="11"/>
    </row>
    <row r="331" spans="1:17" s="1" customFormat="1" x14ac:dyDescent="0.3">
      <c r="A331" s="42"/>
      <c r="B331" s="5"/>
      <c r="C331" s="10"/>
      <c r="D331" s="10"/>
      <c r="E331" s="10"/>
      <c r="F331" s="10"/>
      <c r="G331" s="10"/>
      <c r="H331" s="10"/>
      <c r="I331" s="10"/>
      <c r="J331" s="10"/>
      <c r="Q331" s="11"/>
    </row>
    <row r="332" spans="1:17" s="1" customFormat="1" ht="15.75" customHeight="1" x14ac:dyDescent="0.3">
      <c r="A332" s="42"/>
      <c r="B332" s="377" t="s">
        <v>197</v>
      </c>
      <c r="C332" s="377"/>
      <c r="D332" s="377"/>
      <c r="E332" s="377"/>
      <c r="F332" s="377"/>
      <c r="G332" s="377"/>
      <c r="H332" s="377"/>
      <c r="I332" s="377"/>
      <c r="J332" s="377"/>
      <c r="Q332" s="11"/>
    </row>
    <row r="333" spans="1:17" s="1" customFormat="1" x14ac:dyDescent="0.3">
      <c r="A333" s="42"/>
      <c r="B333" s="377"/>
      <c r="C333" s="377"/>
      <c r="D333" s="377"/>
      <c r="E333" s="377"/>
      <c r="F333" s="377"/>
      <c r="G333" s="377"/>
      <c r="H333" s="377"/>
      <c r="I333" s="377"/>
      <c r="J333" s="377"/>
      <c r="Q333" s="11"/>
    </row>
    <row r="334" spans="1:17" s="1" customFormat="1" x14ac:dyDescent="0.3">
      <c r="A334" s="42"/>
      <c r="B334" s="5"/>
      <c r="C334" s="10"/>
      <c r="D334" s="10"/>
      <c r="E334" s="10"/>
      <c r="F334" s="10"/>
      <c r="G334" s="10"/>
      <c r="H334" s="10"/>
      <c r="I334" s="10"/>
      <c r="J334" s="10"/>
      <c r="Q334" s="11"/>
    </row>
    <row r="335" spans="1:17" s="1" customFormat="1" ht="15.6" x14ac:dyDescent="0.35">
      <c r="A335" s="36" t="s">
        <v>12</v>
      </c>
      <c r="B335" s="27" t="s">
        <v>198</v>
      </c>
      <c r="C335" s="18" t="s">
        <v>199</v>
      </c>
      <c r="D335" s="10"/>
      <c r="E335" s="10"/>
      <c r="F335" s="10"/>
      <c r="G335" s="10"/>
      <c r="H335" s="10"/>
      <c r="I335" s="10"/>
      <c r="J335" s="10"/>
      <c r="Q335" s="11"/>
    </row>
    <row r="336" spans="1:17" s="1" customFormat="1" ht="15.6" x14ac:dyDescent="0.35">
      <c r="A336" s="36" t="s">
        <v>12</v>
      </c>
      <c r="B336" s="27" t="s">
        <v>200</v>
      </c>
      <c r="C336" s="37" t="s">
        <v>201</v>
      </c>
      <c r="D336" s="10"/>
      <c r="E336" s="10"/>
      <c r="F336" s="10"/>
      <c r="G336" s="18" t="s">
        <v>202</v>
      </c>
      <c r="H336" s="10"/>
      <c r="I336" s="18" t="s">
        <v>203</v>
      </c>
      <c r="J336" s="10"/>
      <c r="Q336" s="11"/>
    </row>
    <row r="337" spans="1:17" s="1" customFormat="1" ht="15.6" x14ac:dyDescent="0.35">
      <c r="A337" s="36" t="s">
        <v>12</v>
      </c>
      <c r="B337" s="27" t="s">
        <v>204</v>
      </c>
      <c r="C337" s="37" t="s">
        <v>205</v>
      </c>
      <c r="D337" s="10"/>
      <c r="E337" s="10"/>
      <c r="F337" s="10"/>
      <c r="G337" s="18" t="s">
        <v>206</v>
      </c>
      <c r="H337" s="10"/>
      <c r="I337" s="18" t="s">
        <v>207</v>
      </c>
      <c r="J337" s="10"/>
      <c r="Q337" s="11"/>
    </row>
    <row r="338" spans="1:17" s="1" customFormat="1" ht="15.6" x14ac:dyDescent="0.35">
      <c r="A338" s="36" t="s">
        <v>12</v>
      </c>
      <c r="B338" s="27" t="s">
        <v>200</v>
      </c>
      <c r="C338" s="37" t="s">
        <v>208</v>
      </c>
      <c r="D338" s="10"/>
      <c r="E338" s="10"/>
      <c r="F338" s="10"/>
      <c r="G338" s="18"/>
      <c r="H338" s="10"/>
      <c r="I338" s="18"/>
      <c r="J338" s="10"/>
      <c r="Q338" s="11"/>
    </row>
    <row r="339" spans="1:17" s="1" customFormat="1" ht="15.6" x14ac:dyDescent="0.35">
      <c r="A339" s="36" t="s">
        <v>12</v>
      </c>
      <c r="B339" s="27" t="s">
        <v>209</v>
      </c>
      <c r="C339" s="37" t="s">
        <v>210</v>
      </c>
      <c r="D339" s="10"/>
      <c r="E339" s="10"/>
      <c r="F339" s="10"/>
      <c r="G339" s="18"/>
      <c r="H339" s="10"/>
      <c r="I339" s="18"/>
      <c r="J339" s="10"/>
      <c r="Q339" s="11"/>
    </row>
    <row r="340" spans="1:17" s="1" customFormat="1" ht="15.6" x14ac:dyDescent="0.35">
      <c r="A340" s="36" t="s">
        <v>12</v>
      </c>
      <c r="B340" s="27" t="s">
        <v>211</v>
      </c>
      <c r="C340" s="37" t="s">
        <v>212</v>
      </c>
      <c r="D340" s="10"/>
      <c r="E340" s="10"/>
      <c r="F340" s="10"/>
      <c r="G340" s="18"/>
      <c r="H340" s="10"/>
      <c r="I340" s="18"/>
      <c r="J340" s="10"/>
      <c r="Q340" s="11"/>
    </row>
    <row r="341" spans="1:17" s="1" customFormat="1" ht="15.6" x14ac:dyDescent="0.35">
      <c r="A341" s="36" t="s">
        <v>12</v>
      </c>
      <c r="B341" s="27" t="s">
        <v>213</v>
      </c>
      <c r="C341" s="37" t="s">
        <v>214</v>
      </c>
      <c r="D341" s="10"/>
      <c r="E341" s="10"/>
      <c r="F341" s="10"/>
      <c r="G341" s="18"/>
      <c r="H341" s="10"/>
      <c r="I341" s="18"/>
      <c r="J341" s="10"/>
      <c r="Q341" s="11"/>
    </row>
    <row r="342" spans="1:17" s="1" customFormat="1" x14ac:dyDescent="0.25">
      <c r="A342" s="36"/>
      <c r="B342" s="27"/>
      <c r="C342" s="18"/>
      <c r="D342" s="10"/>
      <c r="E342" s="10"/>
      <c r="F342" s="10"/>
      <c r="G342" s="10"/>
      <c r="H342" s="10"/>
      <c r="I342" s="10"/>
      <c r="J342" s="10"/>
      <c r="Q342" s="11"/>
    </row>
    <row r="343" spans="1:17" s="1" customFormat="1" x14ac:dyDescent="0.25">
      <c r="A343" s="36"/>
      <c r="B343" s="336" t="s">
        <v>215</v>
      </c>
      <c r="C343" s="336"/>
      <c r="D343" s="336"/>
      <c r="E343" s="336"/>
      <c r="F343" s="336"/>
      <c r="G343" s="336"/>
      <c r="H343" s="336"/>
      <c r="I343" s="336"/>
      <c r="J343" s="336"/>
      <c r="Q343" s="11"/>
    </row>
    <row r="344" spans="1:17" s="1" customFormat="1" x14ac:dyDescent="0.25">
      <c r="A344" s="36"/>
      <c r="B344" s="336"/>
      <c r="C344" s="336"/>
      <c r="D344" s="336"/>
      <c r="E344" s="336"/>
      <c r="F344" s="336"/>
      <c r="G344" s="336"/>
      <c r="H344" s="336"/>
      <c r="I344" s="336"/>
      <c r="J344" s="336"/>
      <c r="Q344" s="11"/>
    </row>
    <row r="345" spans="1:17" s="1" customFormat="1" x14ac:dyDescent="0.25">
      <c r="A345" s="36"/>
      <c r="B345" s="27"/>
      <c r="C345" s="18"/>
      <c r="D345" s="10"/>
      <c r="E345" s="10"/>
      <c r="F345" s="10"/>
      <c r="G345" s="10"/>
      <c r="H345" s="10"/>
      <c r="I345" s="10"/>
      <c r="J345" s="10"/>
      <c r="Q345" s="11"/>
    </row>
    <row r="346" spans="1:17" s="1" customFormat="1" ht="15.6" x14ac:dyDescent="0.35">
      <c r="A346" s="36" t="s">
        <v>12</v>
      </c>
      <c r="B346" s="27" t="s">
        <v>216</v>
      </c>
      <c r="C346" s="18"/>
      <c r="D346" s="10"/>
      <c r="E346" s="10"/>
      <c r="F346" s="10"/>
      <c r="G346" s="10"/>
      <c r="H346" s="10"/>
      <c r="I346" s="10"/>
      <c r="J346" s="10"/>
      <c r="Q346" s="11"/>
    </row>
    <row r="347" spans="1:17" s="1" customFormat="1" ht="15.75" customHeight="1" x14ac:dyDescent="0.25">
      <c r="A347" s="36" t="s">
        <v>12</v>
      </c>
      <c r="B347" s="336" t="s">
        <v>217</v>
      </c>
      <c r="C347" s="336"/>
      <c r="D347" s="336"/>
      <c r="E347" s="336"/>
      <c r="F347" s="336"/>
      <c r="G347" s="336"/>
      <c r="H347" s="336"/>
      <c r="I347" s="336"/>
      <c r="J347" s="336"/>
      <c r="Q347" s="11"/>
    </row>
    <row r="348" spans="1:17" s="1" customFormat="1" x14ac:dyDescent="0.3">
      <c r="A348" s="42"/>
      <c r="B348" s="336"/>
      <c r="C348" s="336"/>
      <c r="D348" s="336"/>
      <c r="E348" s="336"/>
      <c r="F348" s="336"/>
      <c r="G348" s="336"/>
      <c r="H348" s="336"/>
      <c r="I348" s="336"/>
      <c r="J348" s="336"/>
      <c r="Q348" s="11"/>
    </row>
    <row r="349" spans="1:17" s="1" customFormat="1" x14ac:dyDescent="0.3">
      <c r="A349" s="42"/>
      <c r="B349" s="5"/>
      <c r="C349" s="10"/>
      <c r="D349" s="10"/>
      <c r="E349" s="10"/>
      <c r="F349" s="10"/>
      <c r="G349" s="10"/>
      <c r="H349" s="10"/>
      <c r="I349" s="10"/>
      <c r="J349" s="10"/>
      <c r="Q349" s="11"/>
    </row>
    <row r="350" spans="1:17" s="1" customFormat="1" ht="15.6" x14ac:dyDescent="0.3">
      <c r="A350" s="42"/>
      <c r="B350" s="33" t="s">
        <v>218</v>
      </c>
      <c r="C350" s="10"/>
      <c r="D350" s="10"/>
      <c r="E350" s="10"/>
      <c r="F350" s="10"/>
      <c r="G350" s="10"/>
      <c r="H350" s="10"/>
      <c r="I350" s="10"/>
      <c r="J350" s="10"/>
      <c r="Q350" s="11"/>
    </row>
    <row r="351" spans="1:17" s="1" customFormat="1" x14ac:dyDescent="0.3">
      <c r="A351" s="42"/>
      <c r="B351" s="5"/>
      <c r="C351" s="10"/>
      <c r="D351" s="10"/>
      <c r="E351" s="10"/>
      <c r="F351" s="10"/>
      <c r="G351" s="10"/>
      <c r="H351" s="10"/>
      <c r="I351" s="10"/>
      <c r="J351" s="10"/>
      <c r="Q351" s="11"/>
    </row>
    <row r="352" spans="1:17" s="1" customFormat="1" ht="15.6" x14ac:dyDescent="0.35">
      <c r="A352" s="36" t="s">
        <v>12</v>
      </c>
      <c r="B352" s="27" t="s">
        <v>219</v>
      </c>
      <c r="D352" s="10"/>
      <c r="E352" s="10"/>
      <c r="F352" s="10"/>
      <c r="G352" s="37" t="s">
        <v>206</v>
      </c>
      <c r="I352" s="18" t="s">
        <v>207</v>
      </c>
      <c r="J352" s="10"/>
      <c r="Q352" s="11"/>
    </row>
    <row r="353" spans="1:17" s="1" customFormat="1" ht="15.6" x14ac:dyDescent="0.35">
      <c r="A353" s="36" t="s">
        <v>12</v>
      </c>
      <c r="B353" s="27" t="s">
        <v>220</v>
      </c>
      <c r="C353" s="37" t="s">
        <v>221</v>
      </c>
      <c r="D353" s="10"/>
      <c r="E353" s="10"/>
      <c r="F353" s="10"/>
      <c r="G353" s="37"/>
      <c r="I353" s="18"/>
      <c r="J353" s="10"/>
      <c r="Q353" s="11"/>
    </row>
    <row r="354" spans="1:17" s="1" customFormat="1" x14ac:dyDescent="0.3">
      <c r="A354" s="42"/>
      <c r="B354" s="5"/>
      <c r="C354" s="10"/>
      <c r="D354" s="10"/>
      <c r="E354" s="10"/>
      <c r="F354" s="10"/>
      <c r="G354" s="10"/>
      <c r="H354" s="10"/>
      <c r="I354" s="10"/>
      <c r="J354" s="10"/>
      <c r="Q354" s="11"/>
    </row>
    <row r="355" spans="1:17" s="1" customFormat="1" ht="15.75" customHeight="1" x14ac:dyDescent="0.3">
      <c r="A355" s="42"/>
      <c r="B355" s="377" t="s">
        <v>222</v>
      </c>
      <c r="C355" s="377"/>
      <c r="D355" s="377"/>
      <c r="E355" s="377"/>
      <c r="F355" s="377"/>
      <c r="G355" s="377"/>
      <c r="H355" s="377"/>
      <c r="I355" s="377"/>
      <c r="J355" s="377"/>
      <c r="Q355" s="11"/>
    </row>
    <row r="356" spans="1:17" s="1" customFormat="1" x14ac:dyDescent="0.3">
      <c r="A356" s="42"/>
      <c r="B356" s="377"/>
      <c r="C356" s="377"/>
      <c r="D356" s="377"/>
      <c r="E356" s="377"/>
      <c r="F356" s="377"/>
      <c r="G356" s="377"/>
      <c r="H356" s="377"/>
      <c r="I356" s="377"/>
      <c r="J356" s="377"/>
      <c r="Q356" s="11"/>
    </row>
    <row r="357" spans="1:17" s="1" customFormat="1" x14ac:dyDescent="0.3">
      <c r="A357" s="42"/>
      <c r="B357" s="5"/>
      <c r="C357" s="10"/>
      <c r="D357" s="10"/>
      <c r="E357" s="10"/>
      <c r="F357" s="10"/>
      <c r="G357" s="10"/>
      <c r="H357" s="10"/>
      <c r="I357" s="10"/>
      <c r="J357" s="10"/>
      <c r="Q357" s="11"/>
    </row>
    <row r="358" spans="1:17" s="1" customFormat="1" ht="15.6" x14ac:dyDescent="0.35">
      <c r="A358" s="36" t="s">
        <v>12</v>
      </c>
      <c r="B358" s="27" t="s">
        <v>220</v>
      </c>
      <c r="C358" s="37" t="s">
        <v>221</v>
      </c>
      <c r="D358" s="10"/>
      <c r="E358" s="10"/>
      <c r="F358" s="10"/>
      <c r="G358" s="37"/>
      <c r="I358" s="18"/>
      <c r="J358" s="10"/>
      <c r="Q358" s="11"/>
    </row>
    <row r="359" spans="1:17" s="1" customFormat="1" x14ac:dyDescent="0.3">
      <c r="A359" s="42"/>
      <c r="B359" s="5"/>
      <c r="C359" s="10"/>
      <c r="D359" s="10"/>
      <c r="E359" s="10"/>
      <c r="F359" s="10"/>
      <c r="G359" s="10"/>
      <c r="H359" s="10"/>
      <c r="I359" s="10"/>
      <c r="J359" s="10"/>
      <c r="Q359" s="11"/>
    </row>
    <row r="360" spans="1:17" s="1" customFormat="1" ht="15.6" x14ac:dyDescent="0.3">
      <c r="A360" s="42">
        <f>A330+1</f>
        <v>2</v>
      </c>
      <c r="B360" s="5" t="s">
        <v>223</v>
      </c>
      <c r="C360" s="10"/>
      <c r="D360" s="10"/>
      <c r="E360" s="10"/>
      <c r="F360" s="10"/>
      <c r="G360" s="10"/>
      <c r="H360" s="10"/>
      <c r="I360" s="10"/>
      <c r="J360" s="10"/>
      <c r="Q360" s="11"/>
    </row>
    <row r="361" spans="1:17" s="1" customFormat="1" x14ac:dyDescent="0.3">
      <c r="A361" s="25"/>
      <c r="B361" s="5"/>
      <c r="C361" s="10"/>
      <c r="D361" s="10"/>
      <c r="E361" s="10"/>
      <c r="F361" s="10"/>
      <c r="G361" s="10"/>
      <c r="H361" s="10"/>
      <c r="I361" s="10"/>
      <c r="J361" s="10"/>
      <c r="Q361" s="11"/>
    </row>
    <row r="362" spans="1:17" s="1" customFormat="1" ht="12.75" customHeight="1" x14ac:dyDescent="0.3">
      <c r="A362" s="25"/>
      <c r="B362" s="377" t="s">
        <v>224</v>
      </c>
      <c r="C362" s="377"/>
      <c r="D362" s="377"/>
      <c r="E362" s="377"/>
      <c r="F362" s="377"/>
      <c r="G362" s="377"/>
      <c r="H362" s="377"/>
      <c r="I362" s="377"/>
      <c r="J362" s="377"/>
      <c r="Q362" s="11"/>
    </row>
    <row r="363" spans="1:17" s="1" customFormat="1" x14ac:dyDescent="0.3">
      <c r="A363" s="25"/>
      <c r="B363" s="377"/>
      <c r="C363" s="377"/>
      <c r="D363" s="377"/>
      <c r="E363" s="377"/>
      <c r="F363" s="377"/>
      <c r="G363" s="377"/>
      <c r="H363" s="377"/>
      <c r="I363" s="377"/>
      <c r="J363" s="377"/>
      <c r="Q363" s="11"/>
    </row>
    <row r="364" spans="1:17" s="1" customFormat="1" x14ac:dyDescent="0.3">
      <c r="A364" s="25"/>
      <c r="B364" s="377"/>
      <c r="C364" s="377"/>
      <c r="D364" s="377"/>
      <c r="E364" s="377"/>
      <c r="F364" s="377"/>
      <c r="G364" s="377"/>
      <c r="H364" s="377"/>
      <c r="I364" s="377"/>
      <c r="J364" s="377"/>
      <c r="Q364" s="11"/>
    </row>
    <row r="365" spans="1:17" s="1" customFormat="1" x14ac:dyDescent="0.3">
      <c r="A365" s="25"/>
      <c r="B365" s="32"/>
      <c r="C365" s="32"/>
      <c r="D365" s="32"/>
      <c r="E365" s="32"/>
      <c r="F365" s="32"/>
      <c r="G365" s="32"/>
      <c r="H365" s="32"/>
      <c r="I365" s="32"/>
      <c r="J365" s="32"/>
      <c r="Q365" s="11"/>
    </row>
    <row r="366" spans="1:17" s="1" customFormat="1" ht="15.6" x14ac:dyDescent="0.35">
      <c r="A366" s="36" t="s">
        <v>12</v>
      </c>
      <c r="B366" s="27" t="s">
        <v>225</v>
      </c>
      <c r="C366" s="37"/>
      <c r="D366" s="10"/>
      <c r="E366" s="10"/>
      <c r="F366" s="10"/>
      <c r="G366" s="37" t="s">
        <v>226</v>
      </c>
      <c r="I366" s="18" t="s">
        <v>227</v>
      </c>
      <c r="J366" s="10"/>
      <c r="Q366" s="11"/>
    </row>
    <row r="367" spans="1:17" s="1" customFormat="1" x14ac:dyDescent="0.25">
      <c r="A367" s="36"/>
      <c r="B367" s="27" t="s">
        <v>228</v>
      </c>
      <c r="C367" s="37"/>
      <c r="D367" s="10"/>
      <c r="E367" s="10"/>
      <c r="F367" s="10"/>
      <c r="G367" s="37"/>
      <c r="I367" s="18"/>
      <c r="J367" s="10"/>
      <c r="Q367" s="11"/>
    </row>
    <row r="368" spans="1:17" s="1" customFormat="1" x14ac:dyDescent="0.25">
      <c r="A368" s="36"/>
      <c r="B368" s="27"/>
      <c r="C368" s="37"/>
      <c r="D368" s="10"/>
      <c r="E368" s="10"/>
      <c r="F368" s="10"/>
      <c r="G368" s="37"/>
      <c r="I368" s="18"/>
      <c r="J368" s="10"/>
      <c r="Q368" s="11"/>
    </row>
    <row r="369" spans="1:17" s="1" customFormat="1" x14ac:dyDescent="0.25">
      <c r="A369" s="36"/>
      <c r="B369" s="27" t="s">
        <v>229</v>
      </c>
      <c r="C369" s="37"/>
      <c r="D369" s="10"/>
      <c r="E369" s="10"/>
      <c r="F369" s="10"/>
      <c r="G369" s="37"/>
      <c r="I369" s="18"/>
      <c r="J369" s="10"/>
      <c r="Q369" s="11"/>
    </row>
    <row r="370" spans="1:17" s="1" customFormat="1" x14ac:dyDescent="0.25">
      <c r="A370" s="36"/>
      <c r="B370" s="27"/>
      <c r="C370" s="37"/>
      <c r="D370" s="10"/>
      <c r="E370" s="10"/>
      <c r="F370" s="10"/>
      <c r="G370" s="37"/>
      <c r="I370" s="18"/>
      <c r="J370" s="10"/>
      <c r="Q370" s="11"/>
    </row>
    <row r="371" spans="1:17" s="1" customFormat="1" x14ac:dyDescent="0.25">
      <c r="A371" s="36"/>
      <c r="B371" s="27" t="s">
        <v>230</v>
      </c>
      <c r="C371" s="37"/>
      <c r="D371" s="10"/>
      <c r="E371" s="10"/>
      <c r="F371" s="10"/>
      <c r="G371" s="37"/>
      <c r="I371" s="18"/>
      <c r="J371" s="10"/>
      <c r="Q371" s="11"/>
    </row>
    <row r="372" spans="1:17" s="1" customFormat="1" x14ac:dyDescent="0.25">
      <c r="A372" s="36" t="s">
        <v>12</v>
      </c>
      <c r="B372" s="174" t="s">
        <v>231</v>
      </c>
      <c r="C372" s="189"/>
      <c r="D372" s="164"/>
      <c r="E372" s="164"/>
      <c r="F372" s="164"/>
      <c r="G372" s="190">
        <f>G48</f>
        <v>0.35000000000000003</v>
      </c>
      <c r="I372" s="18" t="s">
        <v>227</v>
      </c>
      <c r="J372" s="10"/>
      <c r="Q372" s="11"/>
    </row>
    <row r="373" spans="1:17" s="1" customFormat="1" x14ac:dyDescent="0.25">
      <c r="A373" s="36"/>
      <c r="B373" s="27"/>
      <c r="C373" s="37"/>
      <c r="D373" s="10"/>
      <c r="E373" s="10"/>
      <c r="F373" s="10"/>
      <c r="G373" s="37"/>
      <c r="I373" s="18"/>
      <c r="J373" s="10"/>
      <c r="Q373" s="11"/>
    </row>
    <row r="374" spans="1:17" s="1" customFormat="1" x14ac:dyDescent="0.25">
      <c r="A374" s="36"/>
      <c r="B374" s="27" t="str">
        <f>CONCATENATE("De la tabla 3.10.3.2-1 para un perfil de suelo tipo C y PGA="&amp;G372&amp;" el factor de sitio es")</f>
        <v>De la tabla 3.10.3.2-1 para un perfil de suelo tipo C y PGA=0.35 el factor de sitio es</v>
      </c>
      <c r="C374" s="37"/>
      <c r="D374" s="10"/>
      <c r="E374" s="10"/>
      <c r="F374" s="10"/>
      <c r="G374" s="37"/>
      <c r="I374" s="18"/>
      <c r="J374" s="10"/>
      <c r="Q374" s="11"/>
    </row>
    <row r="375" spans="1:17" s="1" customFormat="1" ht="15.6" x14ac:dyDescent="0.35">
      <c r="A375" s="36" t="s">
        <v>12</v>
      </c>
      <c r="B375" s="174" t="s">
        <v>232</v>
      </c>
      <c r="C375" s="189"/>
      <c r="D375" s="164"/>
      <c r="E375" s="164"/>
      <c r="F375" s="164"/>
      <c r="G375" s="293">
        <f>[1]Input!Fpga</f>
        <v>1.05</v>
      </c>
      <c r="I375" s="18" t="s">
        <v>233</v>
      </c>
      <c r="J375" s="10"/>
      <c r="Q375" s="11"/>
    </row>
    <row r="376" spans="1:17" s="1" customFormat="1" x14ac:dyDescent="0.25">
      <c r="A376" s="36"/>
      <c r="B376" s="27"/>
      <c r="C376" s="37"/>
      <c r="D376" s="10"/>
      <c r="E376" s="10"/>
      <c r="F376" s="10"/>
      <c r="G376" s="37"/>
      <c r="I376" s="18"/>
      <c r="J376" s="10"/>
      <c r="Q376" s="11"/>
    </row>
    <row r="377" spans="1:17" s="1" customFormat="1" x14ac:dyDescent="0.25">
      <c r="A377" s="36"/>
      <c r="B377" s="27" t="s">
        <v>234</v>
      </c>
      <c r="C377" s="37"/>
      <c r="D377" s="10"/>
      <c r="E377" s="10"/>
      <c r="F377" s="10"/>
      <c r="G377" s="37"/>
      <c r="I377" s="18"/>
      <c r="J377" s="10"/>
      <c r="Q377" s="11"/>
    </row>
    <row r="378" spans="1:17" s="1" customFormat="1" ht="15.6" x14ac:dyDescent="0.35">
      <c r="A378" s="36" t="s">
        <v>12</v>
      </c>
      <c r="B378" s="174" t="s">
        <v>235</v>
      </c>
      <c r="C378" s="189"/>
      <c r="D378" s="164"/>
      <c r="E378" s="164"/>
      <c r="F378" s="164"/>
      <c r="G378" s="190">
        <f>G375*G372</f>
        <v>0.36750000000000005</v>
      </c>
      <c r="I378" s="18" t="s">
        <v>233</v>
      </c>
      <c r="J378" s="10"/>
      <c r="Q378" s="11"/>
    </row>
    <row r="379" spans="1:17" s="1" customFormat="1" x14ac:dyDescent="0.25">
      <c r="A379" s="36"/>
      <c r="B379" s="27"/>
      <c r="C379" s="37"/>
      <c r="D379" s="10"/>
      <c r="E379" s="10"/>
      <c r="F379" s="10"/>
      <c r="G379" s="37"/>
      <c r="I379" s="18"/>
      <c r="J379" s="10"/>
      <c r="Q379" s="11"/>
    </row>
    <row r="380" spans="1:17" s="1" customFormat="1" x14ac:dyDescent="0.3">
      <c r="A380" s="25"/>
      <c r="B380" s="33" t="s">
        <v>236</v>
      </c>
      <c r="C380" s="10"/>
      <c r="D380" s="10"/>
      <c r="E380" s="10"/>
      <c r="F380" s="10"/>
      <c r="G380" s="10"/>
      <c r="H380" s="10"/>
      <c r="I380" s="10"/>
      <c r="J380" s="10"/>
      <c r="Q380" s="11"/>
    </row>
    <row r="381" spans="1:17" s="1" customFormat="1" ht="15.6" x14ac:dyDescent="0.35">
      <c r="A381" s="36" t="s">
        <v>12</v>
      </c>
      <c r="B381" s="174" t="s">
        <v>209</v>
      </c>
      <c r="C381" s="189"/>
      <c r="D381" s="164"/>
      <c r="E381" s="164"/>
      <c r="F381" s="164" t="s">
        <v>237</v>
      </c>
      <c r="G381" s="190">
        <f>0.5*G378</f>
        <v>0.18375000000000002</v>
      </c>
      <c r="I381" s="18" t="s">
        <v>233</v>
      </c>
      <c r="J381" s="10"/>
      <c r="Q381" s="11"/>
    </row>
    <row r="382" spans="1:17" s="1" customFormat="1" ht="15.6" x14ac:dyDescent="0.35">
      <c r="A382" s="36"/>
      <c r="B382" s="27" t="s">
        <v>238</v>
      </c>
      <c r="C382" s="37"/>
      <c r="D382" s="10"/>
      <c r="E382" s="10"/>
      <c r="F382" s="10"/>
      <c r="G382" s="37"/>
      <c r="I382" s="18"/>
      <c r="J382" s="10"/>
      <c r="Q382" s="11"/>
    </row>
    <row r="383" spans="1:17" s="1" customFormat="1" x14ac:dyDescent="0.25">
      <c r="A383" s="36"/>
      <c r="B383" s="27"/>
      <c r="C383" s="37"/>
      <c r="D383" s="10"/>
      <c r="E383" s="10"/>
      <c r="F383" s="10"/>
      <c r="G383" s="37"/>
      <c r="I383" s="18"/>
      <c r="J383" s="10"/>
      <c r="Q383" s="11"/>
    </row>
    <row r="384" spans="1:17" s="1" customFormat="1" ht="15.6" x14ac:dyDescent="0.3">
      <c r="A384" s="42">
        <f>A360+1</f>
        <v>3</v>
      </c>
      <c r="B384" s="5" t="s">
        <v>239</v>
      </c>
      <c r="C384" s="10"/>
      <c r="D384" s="10"/>
      <c r="E384" s="10"/>
      <c r="F384" s="10"/>
      <c r="G384" s="10"/>
      <c r="H384" s="10"/>
      <c r="I384" s="10"/>
      <c r="J384" s="10"/>
      <c r="Q384" s="11"/>
    </row>
    <row r="385" spans="1:17" s="1" customFormat="1" x14ac:dyDescent="0.25">
      <c r="A385" s="36"/>
      <c r="B385" s="27"/>
      <c r="C385" s="37"/>
      <c r="D385" s="10"/>
      <c r="E385" s="10"/>
      <c r="F385" s="10"/>
      <c r="G385" s="37"/>
      <c r="I385" s="18"/>
      <c r="J385" s="10"/>
      <c r="Q385" s="11"/>
    </row>
    <row r="386" spans="1:17" s="1" customFormat="1" ht="15.6" x14ac:dyDescent="0.35">
      <c r="A386" s="36"/>
      <c r="B386" s="27" t="s">
        <v>240</v>
      </c>
      <c r="C386" s="37"/>
      <c r="D386" s="10"/>
      <c r="E386" s="10"/>
      <c r="F386" s="10"/>
      <c r="G386" s="37"/>
      <c r="I386" s="18"/>
      <c r="J386" s="10"/>
      <c r="Q386" s="11"/>
    </row>
    <row r="387" spans="1:17" s="1" customFormat="1" ht="15.6" x14ac:dyDescent="0.35">
      <c r="A387" s="36" t="s">
        <v>12</v>
      </c>
      <c r="B387" s="174" t="s">
        <v>241</v>
      </c>
      <c r="C387" s="189"/>
      <c r="D387" s="164"/>
      <c r="E387" s="164"/>
      <c r="F387" s="164"/>
      <c r="G387" s="191">
        <f>DEGREES(ATAN(G381/(1-0)))</f>
        <v>10.411953035418401</v>
      </c>
      <c r="I387" s="18" t="s">
        <v>233</v>
      </c>
      <c r="J387" s="10"/>
      <c r="Q387" s="11"/>
    </row>
    <row r="388" spans="1:17" s="1" customFormat="1" x14ac:dyDescent="0.25">
      <c r="A388" s="36"/>
      <c r="B388" s="27"/>
      <c r="C388" s="37"/>
      <c r="D388" s="10"/>
      <c r="E388" s="10"/>
      <c r="F388" s="10"/>
      <c r="G388" s="37"/>
      <c r="I388" s="18"/>
      <c r="J388" s="10"/>
      <c r="Q388" s="11"/>
    </row>
    <row r="389" spans="1:17" s="1" customFormat="1" x14ac:dyDescent="0.25">
      <c r="A389" s="36"/>
      <c r="B389" s="27" t="s">
        <v>242</v>
      </c>
      <c r="C389" s="37"/>
      <c r="D389" s="10"/>
      <c r="E389" s="10"/>
      <c r="F389" s="10"/>
      <c r="G389" s="37"/>
      <c r="I389" s="18"/>
      <c r="J389" s="10"/>
      <c r="Q389" s="11"/>
    </row>
    <row r="390" spans="1:17" s="1" customFormat="1" ht="13.8" x14ac:dyDescent="0.3">
      <c r="A390" s="36" t="s">
        <v>12</v>
      </c>
      <c r="B390" s="192" t="s">
        <v>243</v>
      </c>
      <c r="C390" s="189"/>
      <c r="D390" s="164"/>
      <c r="E390" s="164"/>
      <c r="F390" s="164"/>
      <c r="G390" s="191">
        <f>G16</f>
        <v>30</v>
      </c>
      <c r="I390" s="18" t="s">
        <v>233</v>
      </c>
      <c r="J390" s="10"/>
      <c r="Q390" s="11"/>
    </row>
    <row r="391" spans="1:17" s="1" customFormat="1" x14ac:dyDescent="0.25">
      <c r="A391" s="36"/>
      <c r="B391" s="27" t="s">
        <v>244</v>
      </c>
      <c r="C391" s="37"/>
      <c r="D391" s="10"/>
      <c r="E391" s="10"/>
      <c r="F391" s="10"/>
      <c r="G391" s="37"/>
      <c r="I391" s="18"/>
      <c r="J391" s="10"/>
      <c r="Q391" s="11"/>
    </row>
    <row r="392" spans="1:17" s="1" customFormat="1" x14ac:dyDescent="0.25">
      <c r="A392" s="36" t="s">
        <v>12</v>
      </c>
      <c r="B392" s="142" t="s">
        <v>245</v>
      </c>
      <c r="C392" s="193"/>
      <c r="D392" s="121"/>
      <c r="E392" s="121"/>
      <c r="F392" s="121"/>
      <c r="G392" s="294">
        <v>0</v>
      </c>
      <c r="I392" s="18"/>
      <c r="J392" s="10"/>
      <c r="Q392" s="11"/>
    </row>
    <row r="393" spans="1:17" s="1" customFormat="1" ht="13.8" x14ac:dyDescent="0.3">
      <c r="A393" s="36" t="s">
        <v>12</v>
      </c>
      <c r="B393" s="194" t="s">
        <v>246</v>
      </c>
      <c r="C393" s="195"/>
      <c r="D393" s="136"/>
      <c r="E393" s="136"/>
      <c r="F393" s="136"/>
      <c r="G393" s="295">
        <v>0</v>
      </c>
      <c r="I393" s="18"/>
      <c r="J393" s="10"/>
      <c r="Q393" s="11"/>
    </row>
    <row r="394" spans="1:17" s="1" customFormat="1" ht="13.8" x14ac:dyDescent="0.3">
      <c r="A394" s="36" t="s">
        <v>12</v>
      </c>
      <c r="B394" s="196" t="s">
        <v>247</v>
      </c>
      <c r="C394" s="197"/>
      <c r="D394" s="139"/>
      <c r="E394" s="139"/>
      <c r="F394" s="139"/>
      <c r="G394" s="296">
        <v>0</v>
      </c>
      <c r="I394" s="18"/>
      <c r="J394" s="10"/>
      <c r="Q394" s="11"/>
    </row>
    <row r="395" spans="1:17" s="1" customFormat="1" x14ac:dyDescent="0.25">
      <c r="A395" s="36"/>
      <c r="B395" s="27"/>
      <c r="C395" s="37"/>
      <c r="D395" s="10"/>
      <c r="E395" s="10"/>
      <c r="F395" s="10"/>
      <c r="G395" s="37"/>
      <c r="I395" s="18"/>
      <c r="J395" s="10"/>
      <c r="Q395" s="11"/>
    </row>
    <row r="396" spans="1:17" s="1" customFormat="1" ht="15" x14ac:dyDescent="0.35">
      <c r="A396" s="36" t="s">
        <v>12</v>
      </c>
      <c r="B396" s="192" t="s">
        <v>248</v>
      </c>
      <c r="C396" s="189"/>
      <c r="D396" s="164"/>
      <c r="E396" s="164"/>
      <c r="F396" s="164"/>
      <c r="G396" s="198">
        <f>COS(RADIANS(G390-G387-G393))^2/(COS(RADIANS(G387))*COS(RADIANS(G393))^2*COS(RADIANS(G394+G393+G387)))*(1+SQRT((SIN(RADIANS(G390+G394))*SIN(RADIANS(G390-G387-G392)))/(COS(RADIANS(G394+G393+G387))*COS(RADIANS(G392-G393)))))^(-2)</f>
        <v>0.45968141419813707</v>
      </c>
      <c r="I396" s="18"/>
      <c r="J396" s="10"/>
      <c r="Q396" s="11"/>
    </row>
    <row r="397" spans="1:17" s="1" customFormat="1" x14ac:dyDescent="0.25">
      <c r="A397" s="36"/>
      <c r="B397" s="27"/>
      <c r="C397" s="37"/>
      <c r="D397" s="10"/>
      <c r="E397" s="10"/>
      <c r="F397" s="10"/>
      <c r="G397" s="37"/>
      <c r="I397" s="18"/>
      <c r="J397" s="10"/>
      <c r="Q397" s="11"/>
    </row>
    <row r="398" spans="1:17" s="1" customFormat="1" x14ac:dyDescent="0.25">
      <c r="A398" s="36"/>
      <c r="B398" s="27" t="s">
        <v>249</v>
      </c>
      <c r="C398" s="37"/>
      <c r="D398" s="10"/>
      <c r="E398" s="10"/>
      <c r="F398" s="10"/>
      <c r="G398" s="37"/>
      <c r="I398" s="18"/>
      <c r="J398" s="10"/>
      <c r="Q398" s="11"/>
    </row>
    <row r="399" spans="1:17" s="1" customFormat="1" x14ac:dyDescent="0.25">
      <c r="A399" s="36"/>
      <c r="B399" s="27"/>
      <c r="C399" s="37"/>
      <c r="D399" s="10"/>
      <c r="E399" s="10"/>
      <c r="F399" s="10"/>
      <c r="G399" s="37"/>
      <c r="I399" s="18"/>
      <c r="J399" s="10"/>
      <c r="Q399" s="11"/>
    </row>
    <row r="400" spans="1:17" s="1" customFormat="1" ht="15" x14ac:dyDescent="0.35">
      <c r="A400" s="36" t="s">
        <v>12</v>
      </c>
      <c r="B400" s="192" t="s">
        <v>250</v>
      </c>
      <c r="C400" s="189"/>
      <c r="D400" s="164"/>
      <c r="E400" s="164"/>
      <c r="F400" s="164"/>
      <c r="G400" s="374">
        <f>0.5*G396*ϒ_suelo*Altura_estribo^2</f>
        <v>40.564586395914603</v>
      </c>
      <c r="H400" s="375"/>
      <c r="I400" s="18"/>
      <c r="J400" s="10"/>
      <c r="Q400" s="11"/>
    </row>
    <row r="401" spans="1:17" s="1" customFormat="1" x14ac:dyDescent="0.25">
      <c r="A401" s="36"/>
      <c r="B401" s="27"/>
      <c r="C401" s="37"/>
      <c r="D401" s="10"/>
      <c r="E401" s="10"/>
      <c r="F401" s="10"/>
      <c r="G401" s="37"/>
      <c r="I401" s="18"/>
      <c r="J401" s="10"/>
      <c r="Q401" s="11"/>
    </row>
    <row r="402" spans="1:17" s="1" customFormat="1" x14ac:dyDescent="0.25">
      <c r="A402" s="36"/>
      <c r="B402" s="27" t="s">
        <v>251</v>
      </c>
      <c r="C402" s="37"/>
      <c r="D402" s="10"/>
      <c r="E402" s="10"/>
      <c r="F402" s="10"/>
      <c r="G402" s="37"/>
      <c r="I402" s="18"/>
      <c r="J402" s="10"/>
      <c r="Q402" s="11"/>
    </row>
    <row r="403" spans="1:17" s="1" customFormat="1" x14ac:dyDescent="0.25">
      <c r="A403" s="36"/>
      <c r="B403" s="27"/>
      <c r="C403" s="37"/>
      <c r="D403" s="10"/>
      <c r="E403" s="10"/>
      <c r="F403" s="10"/>
      <c r="G403" s="37"/>
      <c r="I403" s="18"/>
      <c r="J403" s="10"/>
      <c r="Q403" s="11"/>
    </row>
    <row r="404" spans="1:17" s="1" customFormat="1" ht="15" x14ac:dyDescent="0.35">
      <c r="A404" s="36" t="s">
        <v>12</v>
      </c>
      <c r="B404" s="192" t="s">
        <v>252</v>
      </c>
      <c r="C404" s="189"/>
      <c r="D404" s="164"/>
      <c r="E404" s="164"/>
      <c r="F404" s="164"/>
      <c r="G404" s="374">
        <f>G400-G299</f>
        <v>11.149586395914604</v>
      </c>
      <c r="H404" s="375"/>
      <c r="I404" s="18"/>
      <c r="J404" s="10"/>
      <c r="Q404" s="11"/>
    </row>
    <row r="405" spans="1:17" s="1" customFormat="1" x14ac:dyDescent="0.25">
      <c r="A405" s="36"/>
      <c r="B405" s="27"/>
      <c r="C405" s="37"/>
      <c r="D405" s="10"/>
      <c r="E405" s="10"/>
      <c r="F405" s="10"/>
      <c r="G405" s="37"/>
      <c r="I405" s="18"/>
      <c r="J405" s="10"/>
      <c r="Q405" s="11"/>
    </row>
    <row r="406" spans="1:17" s="1" customFormat="1" ht="15" x14ac:dyDescent="0.35">
      <c r="A406" s="36"/>
      <c r="B406" s="27" t="s">
        <v>253</v>
      </c>
      <c r="C406" s="37"/>
      <c r="D406" s="10"/>
      <c r="E406" s="10"/>
      <c r="F406" s="10"/>
      <c r="G406" s="37"/>
      <c r="I406" s="18"/>
      <c r="J406" s="10"/>
      <c r="Q406" s="11"/>
    </row>
    <row r="407" spans="1:17" s="1" customFormat="1" x14ac:dyDescent="0.25">
      <c r="A407" s="36"/>
      <c r="B407" s="27"/>
      <c r="C407" s="37"/>
      <c r="D407" s="10"/>
      <c r="E407" s="10"/>
      <c r="F407" s="10"/>
      <c r="G407" s="37"/>
      <c r="I407" s="18"/>
      <c r="J407" s="10"/>
      <c r="Q407" s="11"/>
    </row>
    <row r="408" spans="1:17" s="1" customFormat="1" ht="13.8" x14ac:dyDescent="0.3">
      <c r="A408" s="36" t="s">
        <v>12</v>
      </c>
      <c r="B408" s="192" t="s">
        <v>254</v>
      </c>
      <c r="C408" s="189"/>
      <c r="D408" s="164"/>
      <c r="E408" s="164"/>
      <c r="F408" s="164"/>
      <c r="G408" s="378">
        <f>0.4*Altura_estribo</f>
        <v>1.2000000000000002</v>
      </c>
      <c r="H408" s="379"/>
      <c r="I408" s="18"/>
      <c r="J408" s="10"/>
      <c r="Q408" s="11"/>
    </row>
    <row r="409" spans="1:17" s="1" customFormat="1" ht="13.8" x14ac:dyDescent="0.3">
      <c r="A409" s="36"/>
      <c r="B409" s="43"/>
      <c r="C409" s="37"/>
      <c r="D409" s="10"/>
      <c r="E409" s="10"/>
      <c r="F409" s="10"/>
      <c r="G409" s="45"/>
      <c r="H409" s="45"/>
      <c r="I409" s="18"/>
      <c r="J409" s="10"/>
      <c r="Q409" s="11"/>
    </row>
    <row r="410" spans="1:17" s="1" customFormat="1" x14ac:dyDescent="0.25">
      <c r="A410" s="36"/>
      <c r="B410" s="27" t="s">
        <v>255</v>
      </c>
      <c r="C410" s="37"/>
      <c r="D410" s="10"/>
      <c r="E410" s="10"/>
      <c r="F410" s="10"/>
      <c r="G410" s="45"/>
      <c r="H410" s="45"/>
      <c r="I410" s="18"/>
      <c r="J410" s="10"/>
      <c r="Q410" s="11"/>
    </row>
    <row r="411" spans="1:17" s="1" customFormat="1" ht="13.8" x14ac:dyDescent="0.3">
      <c r="A411" s="36"/>
      <c r="B411" s="43"/>
      <c r="C411" s="37"/>
      <c r="D411" s="10"/>
      <c r="E411" s="10"/>
      <c r="F411" s="10"/>
      <c r="G411" s="45"/>
      <c r="H411" s="45"/>
      <c r="I411" s="18"/>
      <c r="J411" s="10"/>
      <c r="Q411" s="11"/>
    </row>
    <row r="412" spans="1:17" s="1" customFormat="1" ht="15" x14ac:dyDescent="0.35">
      <c r="A412" s="36" t="s">
        <v>12</v>
      </c>
      <c r="B412" s="192" t="s">
        <v>256</v>
      </c>
      <c r="C412" s="189"/>
      <c r="D412" s="164"/>
      <c r="E412" s="164"/>
      <c r="F412" s="164"/>
      <c r="G412" s="366">
        <f>G404*G408</f>
        <v>13.379503675097526</v>
      </c>
      <c r="H412" s="367"/>
      <c r="I412" s="18"/>
      <c r="J412" s="10"/>
      <c r="Q412" s="11"/>
    </row>
    <row r="413" spans="1:17" s="1" customFormat="1" ht="13.8" x14ac:dyDescent="0.3">
      <c r="A413" s="36"/>
      <c r="B413" s="43"/>
      <c r="C413" s="37"/>
      <c r="D413" s="10"/>
      <c r="E413" s="10"/>
      <c r="F413" s="10"/>
      <c r="G413" s="45"/>
      <c r="H413" s="45"/>
      <c r="I413" s="18"/>
      <c r="J413" s="10"/>
      <c r="Q413" s="11"/>
    </row>
    <row r="414" spans="1:17" s="1" customFormat="1" ht="15.6" x14ac:dyDescent="0.3">
      <c r="A414" s="42">
        <f>A384+1</f>
        <v>4</v>
      </c>
      <c r="B414" s="5" t="s">
        <v>257</v>
      </c>
      <c r="C414" s="10"/>
      <c r="D414" s="10"/>
      <c r="E414" s="10"/>
      <c r="F414" s="10"/>
      <c r="G414" s="10"/>
      <c r="H414" s="10"/>
      <c r="I414" s="10"/>
      <c r="J414" s="10"/>
      <c r="Q414" s="11"/>
    </row>
    <row r="415" spans="1:17" s="1" customFormat="1" x14ac:dyDescent="0.25">
      <c r="A415" s="36"/>
      <c r="B415" s="27"/>
      <c r="C415" s="37"/>
      <c r="D415" s="10"/>
      <c r="E415" s="10"/>
      <c r="F415" s="10"/>
      <c r="G415" s="45"/>
      <c r="H415" s="45"/>
      <c r="I415" s="18"/>
      <c r="J415" s="10"/>
      <c r="Q415" s="11"/>
    </row>
    <row r="416" spans="1:17" s="1" customFormat="1" x14ac:dyDescent="0.25">
      <c r="A416" s="36"/>
      <c r="B416" s="27" t="s">
        <v>258</v>
      </c>
      <c r="C416" s="37"/>
      <c r="D416" s="10"/>
      <c r="E416" s="10"/>
      <c r="F416" s="10"/>
      <c r="G416" s="45"/>
      <c r="H416" s="45"/>
      <c r="I416" s="18"/>
      <c r="J416" s="10"/>
      <c r="Q416" s="11"/>
    </row>
    <row r="417" spans="1:17" s="1" customFormat="1" x14ac:dyDescent="0.25">
      <c r="A417" s="36"/>
      <c r="B417" s="27"/>
      <c r="C417" s="37"/>
      <c r="D417" s="10"/>
      <c r="E417" s="10"/>
      <c r="F417" s="10"/>
      <c r="G417" s="45"/>
      <c r="H417" s="45"/>
      <c r="I417" s="18"/>
      <c r="J417" s="10"/>
      <c r="Q417" s="11"/>
    </row>
    <row r="418" spans="1:17" s="1" customFormat="1" ht="15" x14ac:dyDescent="0.35">
      <c r="A418" s="36" t="s">
        <v>12</v>
      </c>
      <c r="B418" s="199" t="s">
        <v>259</v>
      </c>
      <c r="C418" s="193"/>
      <c r="D418" s="121"/>
      <c r="E418" s="121"/>
      <c r="F418" s="121"/>
      <c r="G418" s="368">
        <f>DC_relleno</f>
        <v>52.211624999999998</v>
      </c>
      <c r="H418" s="369"/>
      <c r="I418" s="18"/>
      <c r="J418" s="10"/>
      <c r="Q418" s="11"/>
    </row>
    <row r="419" spans="1:17" s="1" customFormat="1" ht="15" x14ac:dyDescent="0.35">
      <c r="A419" s="36" t="s">
        <v>12</v>
      </c>
      <c r="B419" s="194" t="s">
        <v>260</v>
      </c>
      <c r="C419" s="195" t="s">
        <v>261</v>
      </c>
      <c r="D419" s="136"/>
      <c r="E419" s="136"/>
      <c r="F419" s="136"/>
      <c r="G419" s="370">
        <f>DC_estribo</f>
        <v>63.745080000000002</v>
      </c>
      <c r="H419" s="371"/>
      <c r="I419" s="18"/>
      <c r="J419" s="10"/>
      <c r="Q419" s="11"/>
    </row>
    <row r="420" spans="1:17" s="1" customFormat="1" ht="15.6" x14ac:dyDescent="0.35">
      <c r="A420" s="36" t="s">
        <v>12</v>
      </c>
      <c r="B420" s="196" t="s">
        <v>262</v>
      </c>
      <c r="C420" s="197" t="s">
        <v>202</v>
      </c>
      <c r="D420" s="139"/>
      <c r="E420" s="139"/>
      <c r="F420" s="139"/>
      <c r="G420" s="372">
        <f>G381*(G419+G418)</f>
        <v>21.307044543750003</v>
      </c>
      <c r="H420" s="373"/>
      <c r="I420" s="18"/>
      <c r="J420" s="10"/>
      <c r="Q420" s="11"/>
    </row>
    <row r="421" spans="1:17" s="1" customFormat="1" x14ac:dyDescent="0.25">
      <c r="A421" s="36"/>
      <c r="B421" s="27"/>
      <c r="C421" s="37"/>
      <c r="D421" s="10"/>
      <c r="E421" s="10"/>
      <c r="F421" s="10"/>
      <c r="G421" s="45"/>
      <c r="H421" s="45"/>
      <c r="I421" s="18"/>
      <c r="J421" s="10"/>
      <c r="Q421" s="11"/>
    </row>
    <row r="422" spans="1:17" s="1" customFormat="1" x14ac:dyDescent="0.3">
      <c r="A422" s="42">
        <f>A414+1</f>
        <v>5</v>
      </c>
      <c r="B422" s="5" t="s">
        <v>263</v>
      </c>
      <c r="C422" s="10"/>
      <c r="D422" s="10"/>
      <c r="E422" s="10"/>
      <c r="F422" s="10"/>
      <c r="G422" s="10"/>
      <c r="H422" s="10"/>
      <c r="I422" s="10"/>
      <c r="J422" s="10"/>
      <c r="Q422" s="11"/>
    </row>
    <row r="423" spans="1:17" s="1" customFormat="1" x14ac:dyDescent="0.25">
      <c r="A423" s="36"/>
      <c r="B423" s="27"/>
      <c r="C423" s="37"/>
      <c r="D423" s="10"/>
      <c r="E423" s="10"/>
      <c r="F423" s="10"/>
      <c r="G423" s="45"/>
      <c r="H423" s="45"/>
      <c r="I423" s="18"/>
      <c r="J423" s="10"/>
      <c r="Q423" s="11"/>
    </row>
    <row r="424" spans="1:17" s="1" customFormat="1" ht="15.6" x14ac:dyDescent="0.35">
      <c r="A424" s="36" t="s">
        <v>12</v>
      </c>
      <c r="B424" s="142" t="s">
        <v>264</v>
      </c>
      <c r="C424" s="193"/>
      <c r="D424" s="121"/>
      <c r="E424" s="121"/>
      <c r="F424" s="121"/>
      <c r="G424" s="200"/>
      <c r="H424" s="200"/>
      <c r="I424" s="75"/>
      <c r="J424" s="122"/>
      <c r="Q424" s="11"/>
    </row>
    <row r="425" spans="1:17" s="1" customFormat="1" x14ac:dyDescent="0.25">
      <c r="A425" s="36"/>
      <c r="B425" s="188"/>
      <c r="C425" s="195"/>
      <c r="D425" s="136"/>
      <c r="E425" s="136"/>
      <c r="F425" s="136"/>
      <c r="G425" s="201"/>
      <c r="H425" s="201"/>
      <c r="I425" s="124"/>
      <c r="J425" s="125"/>
      <c r="Q425" s="11"/>
    </row>
    <row r="426" spans="1:17" s="1" customFormat="1" ht="15.6" x14ac:dyDescent="0.35">
      <c r="A426" s="36"/>
      <c r="B426" s="188" t="s">
        <v>198</v>
      </c>
      <c r="C426" s="195"/>
      <c r="D426" s="136"/>
      <c r="E426" s="136"/>
      <c r="F426" s="136"/>
      <c r="G426" s="370">
        <f>G404+0.5*G420</f>
        <v>21.803108667789605</v>
      </c>
      <c r="H426" s="370"/>
      <c r="I426" s="201" t="str">
        <f>IF(G426&gt;G430,"Rige","")</f>
        <v/>
      </c>
      <c r="J426" s="125"/>
      <c r="Q426" s="11"/>
    </row>
    <row r="427" spans="1:17" s="1" customFormat="1" x14ac:dyDescent="0.25">
      <c r="A427" s="36"/>
      <c r="B427" s="188"/>
      <c r="C427" s="195"/>
      <c r="D427" s="136"/>
      <c r="E427" s="136"/>
      <c r="F427" s="136"/>
      <c r="G427" s="201"/>
      <c r="H427" s="201"/>
      <c r="I427" s="124"/>
      <c r="J427" s="125"/>
      <c r="Q427" s="11"/>
    </row>
    <row r="428" spans="1:17" s="1" customFormat="1" ht="15.6" x14ac:dyDescent="0.35">
      <c r="A428" s="36" t="s">
        <v>12</v>
      </c>
      <c r="B428" s="188" t="s">
        <v>265</v>
      </c>
      <c r="C428" s="195"/>
      <c r="D428" s="136"/>
      <c r="E428" s="136"/>
      <c r="F428" s="136"/>
      <c r="G428" s="201"/>
      <c r="H428" s="201"/>
      <c r="I428" s="124"/>
      <c r="J428" s="125"/>
      <c r="Q428" s="11"/>
    </row>
    <row r="429" spans="1:17" s="1" customFormat="1" x14ac:dyDescent="0.25">
      <c r="A429" s="36"/>
      <c r="B429" s="188"/>
      <c r="C429" s="195"/>
      <c r="D429" s="136"/>
      <c r="E429" s="136"/>
      <c r="F429" s="136"/>
      <c r="G429" s="201"/>
      <c r="H429" s="201"/>
      <c r="I429" s="124"/>
      <c r="J429" s="125"/>
      <c r="Q429" s="11"/>
    </row>
    <row r="430" spans="1:17" s="1" customFormat="1" ht="15.6" x14ac:dyDescent="0.35">
      <c r="A430" s="36"/>
      <c r="B430" s="143" t="s">
        <v>198</v>
      </c>
      <c r="C430" s="197"/>
      <c r="D430" s="139"/>
      <c r="E430" s="139"/>
      <c r="F430" s="139"/>
      <c r="G430" s="372">
        <f>0.5*MAX(G404,G299)+G420</f>
        <v>36.014544543750006</v>
      </c>
      <c r="H430" s="372"/>
      <c r="I430" s="202" t="str">
        <f>IF(G430&gt;G426,"Rige","")</f>
        <v>Rige</v>
      </c>
      <c r="J430" s="127"/>
      <c r="Q430" s="11"/>
    </row>
    <row r="431" spans="1:17" s="1" customFormat="1" x14ac:dyDescent="0.25">
      <c r="A431" s="36"/>
      <c r="B431" s="27"/>
      <c r="C431" s="37"/>
      <c r="D431" s="10"/>
      <c r="E431" s="10"/>
      <c r="F431" s="10"/>
      <c r="G431" s="45"/>
      <c r="H431" s="45"/>
      <c r="I431" s="18"/>
      <c r="J431" s="10"/>
      <c r="Q431" s="11"/>
    </row>
    <row r="432" spans="1:17" s="1" customFormat="1" ht="12.75" customHeight="1" x14ac:dyDescent="0.25">
      <c r="A432" s="36"/>
      <c r="B432" s="358" t="s">
        <v>266</v>
      </c>
      <c r="C432" s="358"/>
      <c r="D432" s="358"/>
      <c r="E432" s="358"/>
      <c r="F432" s="358"/>
      <c r="G432" s="358"/>
      <c r="H432" s="358"/>
      <c r="I432" s="358"/>
      <c r="J432" s="358"/>
      <c r="Q432" s="11"/>
    </row>
    <row r="433" spans="1:17" s="1" customFormat="1" x14ac:dyDescent="0.25">
      <c r="A433" s="36"/>
      <c r="B433" s="358"/>
      <c r="C433" s="358"/>
      <c r="D433" s="358"/>
      <c r="E433" s="358"/>
      <c r="F433" s="358"/>
      <c r="G433" s="358"/>
      <c r="H433" s="358"/>
      <c r="I433" s="358"/>
      <c r="J433" s="358"/>
      <c r="Q433" s="11"/>
    </row>
    <row r="434" spans="1:17" s="1" customFormat="1" x14ac:dyDescent="0.25">
      <c r="A434" s="36"/>
      <c r="B434" s="10"/>
      <c r="C434" s="10"/>
      <c r="D434" s="10"/>
      <c r="E434" s="10"/>
      <c r="F434" s="10"/>
      <c r="G434" s="10"/>
      <c r="H434" s="10"/>
      <c r="I434" s="10"/>
      <c r="J434" s="10"/>
      <c r="Q434" s="11"/>
    </row>
    <row r="435" spans="1:17" s="1" customFormat="1" ht="15.75" customHeight="1" x14ac:dyDescent="0.25">
      <c r="A435" s="36"/>
      <c r="B435" s="336" t="s">
        <v>267</v>
      </c>
      <c r="C435" s="336"/>
      <c r="D435" s="336"/>
      <c r="E435" s="336"/>
      <c r="F435" s="336"/>
      <c r="G435" s="336"/>
      <c r="H435" s="336"/>
      <c r="I435" s="336"/>
      <c r="J435" s="336"/>
      <c r="Q435" s="11"/>
    </row>
    <row r="436" spans="1:17" s="1" customFormat="1" x14ac:dyDescent="0.25">
      <c r="A436" s="36"/>
      <c r="B436" s="336"/>
      <c r="C436" s="336"/>
      <c r="D436" s="336"/>
      <c r="E436" s="336"/>
      <c r="F436" s="336"/>
      <c r="G436" s="336"/>
      <c r="H436" s="336"/>
      <c r="I436" s="336"/>
      <c r="J436" s="336"/>
      <c r="Q436" s="11"/>
    </row>
    <row r="437" spans="1:17" s="1" customFormat="1" x14ac:dyDescent="0.25">
      <c r="A437" s="36"/>
      <c r="B437" s="336"/>
      <c r="C437" s="336"/>
      <c r="D437" s="336"/>
      <c r="E437" s="336"/>
      <c r="F437" s="336"/>
      <c r="G437" s="336"/>
      <c r="H437" s="336"/>
      <c r="I437" s="336"/>
      <c r="J437" s="336"/>
      <c r="Q437" s="11"/>
    </row>
    <row r="438" spans="1:17" s="1" customFormat="1" ht="13.8" x14ac:dyDescent="0.3">
      <c r="A438" s="36"/>
      <c r="B438" s="43"/>
      <c r="C438" s="37"/>
      <c r="D438" s="10"/>
      <c r="E438" s="10"/>
      <c r="F438" s="10"/>
      <c r="G438" s="45"/>
      <c r="H438" s="45"/>
      <c r="I438" s="18"/>
      <c r="J438" s="10"/>
      <c r="Q438" s="11"/>
    </row>
    <row r="439" spans="1:17" s="1" customFormat="1" ht="15.75" customHeight="1" x14ac:dyDescent="0.25">
      <c r="A439" s="36"/>
      <c r="B439" s="336" t="s">
        <v>268</v>
      </c>
      <c r="C439" s="336"/>
      <c r="D439" s="336"/>
      <c r="E439" s="336"/>
      <c r="F439" s="336"/>
      <c r="G439" s="336"/>
      <c r="H439" s="336"/>
      <c r="I439" s="336"/>
      <c r="J439" s="336"/>
      <c r="Q439" s="11"/>
    </row>
    <row r="440" spans="1:17" s="1" customFormat="1" x14ac:dyDescent="0.25">
      <c r="A440" s="36"/>
      <c r="B440" s="336"/>
      <c r="C440" s="336"/>
      <c r="D440" s="336"/>
      <c r="E440" s="336"/>
      <c r="F440" s="336"/>
      <c r="G440" s="336"/>
      <c r="H440" s="336"/>
      <c r="I440" s="336"/>
      <c r="J440" s="336"/>
      <c r="Q440" s="11"/>
    </row>
    <row r="441" spans="1:17" s="1" customFormat="1" ht="13.8" x14ac:dyDescent="0.3">
      <c r="A441" s="36"/>
      <c r="B441" s="43"/>
      <c r="C441" s="37"/>
      <c r="D441" s="10"/>
      <c r="E441" s="10"/>
      <c r="F441" s="10"/>
      <c r="G441" s="45"/>
      <c r="H441" s="45"/>
      <c r="I441" s="18"/>
      <c r="J441" s="10"/>
      <c r="Q441" s="11"/>
    </row>
    <row r="442" spans="1:17" s="1" customFormat="1" x14ac:dyDescent="0.25">
      <c r="A442" s="36"/>
      <c r="B442" s="27" t="s">
        <v>269</v>
      </c>
      <c r="C442" s="37"/>
      <c r="D442" s="10"/>
      <c r="E442" s="10"/>
      <c r="F442" s="10"/>
      <c r="G442" s="45"/>
      <c r="H442" s="45"/>
      <c r="I442" s="18"/>
      <c r="J442" s="10"/>
      <c r="Q442" s="11"/>
    </row>
    <row r="443" spans="1:17" s="1" customFormat="1" ht="13.8" x14ac:dyDescent="0.3">
      <c r="A443" s="36"/>
      <c r="B443" s="43"/>
      <c r="C443" s="37"/>
      <c r="D443" s="10"/>
      <c r="E443" s="10"/>
      <c r="F443" s="10"/>
      <c r="G443" s="45"/>
      <c r="H443" s="45"/>
      <c r="I443" s="18"/>
      <c r="J443" s="10"/>
      <c r="Q443" s="11"/>
    </row>
    <row r="444" spans="1:17" s="1" customFormat="1" ht="15.6" x14ac:dyDescent="0.35">
      <c r="A444" s="36" t="s">
        <v>12</v>
      </c>
      <c r="B444" s="174" t="s">
        <v>270</v>
      </c>
      <c r="C444" s="189"/>
      <c r="D444" s="164"/>
      <c r="E444" s="164"/>
      <c r="F444" s="164"/>
      <c r="G444" s="203">
        <f>0.4*Altura_estribo</f>
        <v>1.2000000000000002</v>
      </c>
      <c r="H444" s="45"/>
      <c r="I444" s="18"/>
      <c r="J444" s="10"/>
      <c r="Q444" s="11"/>
    </row>
    <row r="445" spans="1:17" s="1" customFormat="1" ht="13.8" x14ac:dyDescent="0.3">
      <c r="A445" s="36"/>
      <c r="B445" s="43"/>
      <c r="C445" s="37"/>
      <c r="D445" s="10"/>
      <c r="E445" s="10"/>
      <c r="F445" s="10"/>
      <c r="G445" s="45"/>
      <c r="H445" s="45"/>
      <c r="I445" s="18"/>
      <c r="J445" s="10"/>
      <c r="Q445" s="11"/>
    </row>
    <row r="446" spans="1:17" s="1" customFormat="1" x14ac:dyDescent="0.25">
      <c r="A446" s="36"/>
      <c r="B446" s="27" t="s">
        <v>271</v>
      </c>
      <c r="C446" s="37"/>
      <c r="D446" s="10"/>
      <c r="E446" s="10"/>
      <c r="F446" s="10"/>
      <c r="G446" s="45"/>
      <c r="H446" s="45"/>
      <c r="I446" s="18"/>
      <c r="J446" s="10"/>
      <c r="Q446" s="11"/>
    </row>
    <row r="447" spans="1:17" s="1" customFormat="1" ht="13.8" x14ac:dyDescent="0.3">
      <c r="A447" s="36"/>
      <c r="B447" s="43"/>
      <c r="C447" s="37"/>
      <c r="D447" s="10"/>
      <c r="E447" s="10"/>
      <c r="F447" s="10"/>
      <c r="G447" s="45"/>
      <c r="H447" s="45"/>
      <c r="I447" s="18"/>
      <c r="J447" s="10"/>
      <c r="Q447" s="11"/>
    </row>
    <row r="448" spans="1:17" s="1" customFormat="1" ht="15" x14ac:dyDescent="0.35">
      <c r="A448" s="36" t="s">
        <v>12</v>
      </c>
      <c r="B448" s="192" t="s">
        <v>272</v>
      </c>
      <c r="C448" s="189"/>
      <c r="D448" s="164"/>
      <c r="E448" s="164"/>
      <c r="F448" s="164"/>
      <c r="G448" s="366">
        <f>IF(I430="Rige",G430,G426)*G444</f>
        <v>43.217453452500017</v>
      </c>
      <c r="H448" s="367"/>
      <c r="I448" s="18"/>
      <c r="J448" s="10"/>
      <c r="Q448" s="11"/>
    </row>
    <row r="449" spans="1:17" s="1" customFormat="1" ht="13.8" x14ac:dyDescent="0.3">
      <c r="A449" s="36"/>
      <c r="B449" s="43"/>
      <c r="C449" s="37"/>
      <c r="D449" s="10"/>
      <c r="E449" s="10"/>
      <c r="F449" s="10"/>
      <c r="G449" s="45"/>
      <c r="H449" s="45"/>
      <c r="I449" s="18"/>
      <c r="J449" s="10"/>
      <c r="Q449" s="11"/>
    </row>
    <row r="450" spans="1:17" s="1" customFormat="1" ht="15.6" x14ac:dyDescent="0.3">
      <c r="A450" s="41">
        <f>A328+1</f>
        <v>2</v>
      </c>
      <c r="B450" s="5" t="s">
        <v>273</v>
      </c>
      <c r="C450" s="10"/>
      <c r="D450" s="10"/>
      <c r="E450" s="10"/>
      <c r="F450" s="10"/>
      <c r="G450" s="10"/>
      <c r="H450" s="10"/>
      <c r="I450" s="10"/>
      <c r="J450" s="10"/>
      <c r="Q450" s="11"/>
    </row>
    <row r="451" spans="1:17" s="1" customFormat="1" ht="13.8" x14ac:dyDescent="0.3">
      <c r="A451" s="36"/>
      <c r="B451" s="43"/>
      <c r="C451" s="37"/>
      <c r="D451" s="10"/>
      <c r="E451" s="10"/>
      <c r="F451" s="10"/>
      <c r="G451" s="45"/>
      <c r="H451" s="45"/>
      <c r="I451" s="18"/>
      <c r="J451" s="10"/>
      <c r="Q451" s="11"/>
    </row>
    <row r="452" spans="1:17" s="1" customFormat="1" x14ac:dyDescent="0.25">
      <c r="A452" s="36"/>
      <c r="B452" s="336" t="s">
        <v>274</v>
      </c>
      <c r="C452" s="336"/>
      <c r="D452" s="336"/>
      <c r="E452" s="336"/>
      <c r="F452" s="336"/>
      <c r="G452" s="336"/>
      <c r="H452" s="336"/>
      <c r="I452" s="336"/>
      <c r="J452" s="336"/>
      <c r="Q452" s="11"/>
    </row>
    <row r="453" spans="1:17" s="1" customFormat="1" x14ac:dyDescent="0.25">
      <c r="A453" s="36"/>
      <c r="B453" s="336"/>
      <c r="C453" s="336"/>
      <c r="D453" s="336"/>
      <c r="E453" s="336"/>
      <c r="F453" s="336"/>
      <c r="G453" s="336"/>
      <c r="H453" s="336"/>
      <c r="I453" s="336"/>
      <c r="J453" s="336"/>
      <c r="Q453" s="11"/>
    </row>
    <row r="454" spans="1:17" s="1" customFormat="1" x14ac:dyDescent="0.25">
      <c r="A454" s="36"/>
      <c r="B454" s="336"/>
      <c r="C454" s="336"/>
      <c r="D454" s="336"/>
      <c r="E454" s="336"/>
      <c r="F454" s="336"/>
      <c r="G454" s="336"/>
      <c r="H454" s="336"/>
      <c r="I454" s="336"/>
      <c r="J454" s="336"/>
      <c r="Q454" s="11"/>
    </row>
    <row r="455" spans="1:17" s="1" customFormat="1" x14ac:dyDescent="0.25">
      <c r="A455" s="36"/>
      <c r="B455" s="336"/>
      <c r="C455" s="336"/>
      <c r="D455" s="336"/>
      <c r="E455" s="336"/>
      <c r="F455" s="336"/>
      <c r="G455" s="336"/>
      <c r="H455" s="336"/>
      <c r="I455" s="336"/>
      <c r="J455" s="336"/>
      <c r="Q455" s="11"/>
    </row>
    <row r="456" spans="1:17" s="1" customFormat="1" ht="13.8" x14ac:dyDescent="0.3">
      <c r="A456" s="36"/>
      <c r="B456" s="43"/>
      <c r="C456" s="37"/>
      <c r="D456" s="10"/>
      <c r="E456" s="10"/>
      <c r="F456" s="10"/>
      <c r="G456" s="45"/>
      <c r="H456" s="45"/>
      <c r="I456" s="18"/>
      <c r="J456" s="10"/>
      <c r="Q456" s="11"/>
    </row>
    <row r="457" spans="1:17" s="1" customFormat="1" ht="15.6" x14ac:dyDescent="0.35">
      <c r="A457" s="36"/>
      <c r="B457" s="27" t="s">
        <v>275</v>
      </c>
      <c r="C457" s="37"/>
      <c r="D457" s="10"/>
      <c r="E457" s="10"/>
      <c r="F457" s="10"/>
      <c r="G457" s="45"/>
      <c r="H457" s="45"/>
      <c r="I457" s="18"/>
      <c r="J457" s="10"/>
      <c r="Q457" s="11"/>
    </row>
    <row r="458" spans="1:17" s="1" customFormat="1" ht="13.8" x14ac:dyDescent="0.3">
      <c r="A458" s="36"/>
      <c r="B458" s="43"/>
      <c r="C458" s="37"/>
      <c r="D458" s="10"/>
      <c r="E458" s="10"/>
      <c r="F458" s="10"/>
      <c r="G458" s="45"/>
      <c r="H458" s="45"/>
      <c r="I458" s="18"/>
      <c r="J458" s="10"/>
      <c r="Q458" s="11"/>
    </row>
    <row r="459" spans="1:17" s="1" customFormat="1" ht="15" x14ac:dyDescent="0.35">
      <c r="A459" s="36" t="s">
        <v>12</v>
      </c>
      <c r="B459" s="43" t="s">
        <v>276</v>
      </c>
      <c r="C459" s="37"/>
      <c r="D459" s="10"/>
      <c r="E459" s="10"/>
      <c r="F459" s="10"/>
      <c r="G459" s="376"/>
      <c r="H459" s="376"/>
      <c r="I459" s="18"/>
      <c r="J459" s="10"/>
      <c r="Q459" s="11"/>
    </row>
    <row r="460" spans="1:17" s="1" customFormat="1" ht="13.8" x14ac:dyDescent="0.3">
      <c r="A460" s="36"/>
      <c r="B460" s="43"/>
      <c r="C460" s="37"/>
      <c r="D460" s="10"/>
      <c r="E460" s="10"/>
      <c r="F460" s="10"/>
      <c r="G460" s="45"/>
      <c r="H460" s="45"/>
      <c r="I460" s="18"/>
      <c r="J460" s="10"/>
      <c r="Q460" s="11"/>
    </row>
    <row r="461" spans="1:17" s="1" customFormat="1" ht="15" x14ac:dyDescent="0.35">
      <c r="A461" s="36"/>
      <c r="B461" s="43" t="s">
        <v>277</v>
      </c>
      <c r="C461" s="349" t="s">
        <v>278</v>
      </c>
      <c r="D461" s="349"/>
      <c r="E461" s="349"/>
      <c r="F461" s="349"/>
      <c r="G461" s="349"/>
      <c r="H461" s="349"/>
      <c r="I461" s="349"/>
      <c r="J461" s="349"/>
      <c r="Q461" s="11"/>
    </row>
    <row r="462" spans="1:17" s="1" customFormat="1" ht="13.8" x14ac:dyDescent="0.3">
      <c r="A462" s="36"/>
      <c r="B462" s="43"/>
      <c r="C462" s="349"/>
      <c r="D462" s="349"/>
      <c r="E462" s="349"/>
      <c r="F462" s="349"/>
      <c r="G462" s="349"/>
      <c r="H462" s="349"/>
      <c r="I462" s="349"/>
      <c r="J462" s="349"/>
      <c r="Q462" s="11"/>
    </row>
    <row r="463" spans="1:17" s="1" customFormat="1" ht="13.8" x14ac:dyDescent="0.3">
      <c r="A463" s="36"/>
      <c r="B463" s="43"/>
      <c r="C463" s="349"/>
      <c r="D463" s="349"/>
      <c r="E463" s="349"/>
      <c r="F463" s="349"/>
      <c r="G463" s="349"/>
      <c r="H463" s="349"/>
      <c r="I463" s="349"/>
      <c r="J463" s="349"/>
      <c r="Q463" s="11"/>
    </row>
    <row r="464" spans="1:17" s="1" customFormat="1" ht="15" x14ac:dyDescent="0.35">
      <c r="A464" s="36"/>
      <c r="B464" s="43" t="s">
        <v>279</v>
      </c>
      <c r="C464" s="349" t="s">
        <v>280</v>
      </c>
      <c r="D464" s="349"/>
      <c r="E464" s="349"/>
      <c r="F464" s="349"/>
      <c r="G464" s="349"/>
      <c r="H464" s="349"/>
      <c r="I464" s="349"/>
      <c r="J464" s="349"/>
      <c r="Q464" s="11"/>
    </row>
    <row r="465" spans="1:17" s="1" customFormat="1" ht="13.8" x14ac:dyDescent="0.3">
      <c r="A465" s="36"/>
      <c r="B465" s="43"/>
      <c r="C465" s="349"/>
      <c r="D465" s="349"/>
      <c r="E465" s="349"/>
      <c r="F465" s="349"/>
      <c r="G465" s="349"/>
      <c r="H465" s="349"/>
      <c r="I465" s="349"/>
      <c r="J465" s="349"/>
      <c r="Q465" s="11"/>
    </row>
    <row r="466" spans="1:17" s="1" customFormat="1" ht="13.8" x14ac:dyDescent="0.3">
      <c r="A466" s="36"/>
      <c r="B466" s="43" t="s">
        <v>281</v>
      </c>
      <c r="C466" s="37" t="s">
        <v>282</v>
      </c>
      <c r="D466" s="10"/>
      <c r="E466" s="10"/>
      <c r="F466" s="10"/>
      <c r="G466" s="46">
        <v>0.2</v>
      </c>
      <c r="H466" s="45"/>
      <c r="I466" s="18"/>
      <c r="J466" s="10"/>
      <c r="Q466" s="11"/>
    </row>
    <row r="467" spans="1:17" s="1" customFormat="1" ht="13.8" x14ac:dyDescent="0.3">
      <c r="A467" s="36"/>
      <c r="B467" s="43"/>
      <c r="C467" s="37"/>
      <c r="D467" s="10"/>
      <c r="E467" s="10"/>
      <c r="F467" s="10"/>
      <c r="G467" s="45"/>
      <c r="H467" s="45"/>
      <c r="I467" s="18"/>
      <c r="J467" s="10"/>
      <c r="Q467" s="11"/>
    </row>
    <row r="468" spans="1:17" s="1" customFormat="1" ht="14.25" customHeight="1" x14ac:dyDescent="0.3">
      <c r="A468" s="36" t="s">
        <v>12</v>
      </c>
      <c r="B468" s="199" t="s">
        <v>173</v>
      </c>
      <c r="C468" s="193"/>
      <c r="D468" s="121"/>
      <c r="E468" s="121"/>
      <c r="F468" s="121">
        <v>1.25</v>
      </c>
      <c r="G468" s="368">
        <f>DC</f>
        <v>4.1953333333333331</v>
      </c>
      <c r="H468" s="369"/>
      <c r="I468" s="18"/>
      <c r="J468" s="10"/>
      <c r="Q468" s="11"/>
    </row>
    <row r="469" spans="1:17" s="1" customFormat="1" ht="14.25" customHeight="1" x14ac:dyDescent="0.3">
      <c r="A469" s="36" t="s">
        <v>12</v>
      </c>
      <c r="B469" s="194" t="s">
        <v>90</v>
      </c>
      <c r="C469" s="195"/>
      <c r="D469" s="136"/>
      <c r="E469" s="136"/>
      <c r="F469" s="136">
        <v>1.5</v>
      </c>
      <c r="G469" s="370">
        <f>DW_por_longitud</f>
        <v>0</v>
      </c>
      <c r="H469" s="371"/>
      <c r="I469" s="18"/>
      <c r="J469" s="10"/>
      <c r="Q469" s="11"/>
    </row>
    <row r="470" spans="1:17" s="1" customFormat="1" ht="14.25" customHeight="1" x14ac:dyDescent="0.3">
      <c r="A470" s="36" t="s">
        <v>12</v>
      </c>
      <c r="B470" s="196" t="s">
        <v>179</v>
      </c>
      <c r="C470" s="197"/>
      <c r="D470" s="139"/>
      <c r="E470" s="139"/>
      <c r="F470" s="139">
        <v>0.5</v>
      </c>
      <c r="G470" s="372">
        <f>R_A_estribo</f>
        <v>7.1940000000000017</v>
      </c>
      <c r="H470" s="373"/>
      <c r="I470" s="18"/>
      <c r="J470" s="10"/>
      <c r="Q470" s="11"/>
    </row>
    <row r="471" spans="1:17" s="1" customFormat="1" x14ac:dyDescent="0.25">
      <c r="A471" s="36"/>
      <c r="B471" s="27"/>
      <c r="C471" s="37"/>
      <c r="D471" s="10"/>
      <c r="E471" s="10"/>
      <c r="F471" s="10"/>
      <c r="G471" s="45"/>
      <c r="H471" s="45"/>
      <c r="I471" s="18"/>
      <c r="J471" s="10"/>
      <c r="Q471" s="11"/>
    </row>
    <row r="472" spans="1:17" s="1" customFormat="1" ht="15" x14ac:dyDescent="0.35">
      <c r="A472" s="36" t="s">
        <v>12</v>
      </c>
      <c r="B472" s="192" t="s">
        <v>277</v>
      </c>
      <c r="C472" s="189"/>
      <c r="D472" s="164"/>
      <c r="E472" s="164"/>
      <c r="F472" s="164"/>
      <c r="G472" s="374">
        <f>G466*(SUMPRODUCT(F468:F470,G468:G470))</f>
        <v>1.7682333333333338</v>
      </c>
      <c r="H472" s="375"/>
      <c r="I472" s="18"/>
      <c r="J472" s="10"/>
      <c r="Q472" s="11"/>
    </row>
    <row r="473" spans="1:17" s="1" customFormat="1" ht="13.8" x14ac:dyDescent="0.3">
      <c r="A473" s="36"/>
      <c r="B473" s="43"/>
      <c r="C473" s="37"/>
      <c r="D473" s="10"/>
      <c r="E473" s="10"/>
      <c r="F473" s="10"/>
      <c r="G473" s="45"/>
      <c r="H473" s="45"/>
      <c r="I473" s="18"/>
      <c r="J473" s="10"/>
      <c r="Q473" s="11"/>
    </row>
    <row r="474" spans="1:17" s="1" customFormat="1" x14ac:dyDescent="0.25">
      <c r="A474" s="36"/>
      <c r="B474" s="336" t="s">
        <v>283</v>
      </c>
      <c r="C474" s="336"/>
      <c r="D474" s="336"/>
      <c r="E474" s="336"/>
      <c r="F474" s="336"/>
      <c r="G474" s="336"/>
      <c r="H474" s="336"/>
      <c r="I474" s="336"/>
      <c r="J474" s="336"/>
      <c r="Q474" s="11"/>
    </row>
    <row r="475" spans="1:17" s="1" customFormat="1" x14ac:dyDescent="0.25">
      <c r="A475" s="36"/>
      <c r="B475" s="336"/>
      <c r="C475" s="336"/>
      <c r="D475" s="336"/>
      <c r="E475" s="336"/>
      <c r="F475" s="336"/>
      <c r="G475" s="336"/>
      <c r="H475" s="336"/>
      <c r="I475" s="336"/>
      <c r="J475" s="336"/>
      <c r="Q475" s="11"/>
    </row>
    <row r="476" spans="1:17" s="1" customFormat="1" x14ac:dyDescent="0.25">
      <c r="A476" s="36"/>
      <c r="B476" s="336"/>
      <c r="C476" s="336"/>
      <c r="D476" s="336"/>
      <c r="E476" s="336"/>
      <c r="F476" s="336"/>
      <c r="G476" s="336"/>
      <c r="H476" s="336"/>
      <c r="I476" s="336"/>
      <c r="J476" s="336"/>
      <c r="Q476" s="11"/>
    </row>
    <row r="477" spans="1:17" s="1" customFormat="1" ht="13.8" x14ac:dyDescent="0.3">
      <c r="A477" s="36"/>
      <c r="B477" s="43"/>
      <c r="C477" s="37"/>
      <c r="D477" s="10"/>
      <c r="E477" s="10"/>
      <c r="F477" s="10"/>
      <c r="G477" s="45"/>
      <c r="H477" s="45"/>
      <c r="I477" s="18"/>
      <c r="J477" s="10"/>
      <c r="Q477" s="11"/>
    </row>
    <row r="478" spans="1:17" s="1" customFormat="1" ht="13.8" x14ac:dyDescent="0.3">
      <c r="A478" s="36"/>
      <c r="B478" s="43"/>
      <c r="C478" s="37"/>
      <c r="D478" s="10"/>
      <c r="E478" s="10"/>
      <c r="F478" s="10"/>
      <c r="G478" s="45"/>
      <c r="H478" s="45"/>
      <c r="I478" s="18"/>
      <c r="J478" s="10"/>
      <c r="Q478" s="11"/>
    </row>
    <row r="479" spans="1:17" s="1" customFormat="1" ht="13.8" x14ac:dyDescent="0.3">
      <c r="A479" s="36" t="s">
        <v>12</v>
      </c>
      <c r="B479" s="192" t="s">
        <v>0</v>
      </c>
      <c r="C479" s="189"/>
      <c r="D479" s="164"/>
      <c r="E479" s="164"/>
      <c r="F479" s="164"/>
      <c r="G479" s="297">
        <f>Altura_base_estribo+Altura_vástago_estribo</f>
        <v>1.65</v>
      </c>
      <c r="H479" s="48"/>
      <c r="I479" s="18"/>
      <c r="J479" s="10"/>
      <c r="Q479" s="11"/>
    </row>
    <row r="480" spans="1:17" s="1" customFormat="1" ht="13.8" x14ac:dyDescent="0.3">
      <c r="A480" s="36"/>
      <c r="B480" s="43"/>
      <c r="C480" s="37"/>
      <c r="D480" s="10"/>
      <c r="E480" s="10"/>
      <c r="F480" s="10"/>
      <c r="G480" s="45"/>
      <c r="H480" s="45"/>
      <c r="I480" s="18"/>
      <c r="J480" s="10"/>
      <c r="Q480" s="11"/>
    </row>
    <row r="481" spans="1:17" s="1" customFormat="1" x14ac:dyDescent="0.25">
      <c r="A481" s="36"/>
      <c r="B481" s="336" t="s">
        <v>284</v>
      </c>
      <c r="C481" s="336"/>
      <c r="D481" s="336"/>
      <c r="E481" s="336"/>
      <c r="F481" s="336"/>
      <c r="G481" s="336"/>
      <c r="H481" s="336"/>
      <c r="I481" s="336"/>
      <c r="J481" s="336"/>
      <c r="Q481" s="11"/>
    </row>
    <row r="482" spans="1:17" s="1" customFormat="1" x14ac:dyDescent="0.25">
      <c r="A482" s="36"/>
      <c r="B482" s="336"/>
      <c r="C482" s="336"/>
      <c r="D482" s="336"/>
      <c r="E482" s="336"/>
      <c r="F482" s="336"/>
      <c r="G482" s="336"/>
      <c r="H482" s="336"/>
      <c r="I482" s="336"/>
      <c r="J482" s="336"/>
      <c r="Q482" s="11"/>
    </row>
    <row r="483" spans="1:17" s="1" customFormat="1" ht="13.8" x14ac:dyDescent="0.3">
      <c r="A483" s="36"/>
      <c r="B483" s="43"/>
      <c r="C483" s="37"/>
      <c r="D483" s="10"/>
      <c r="E483" s="10"/>
      <c r="F483" s="10"/>
      <c r="G483" s="45"/>
      <c r="H483" s="45"/>
      <c r="I483" s="18"/>
      <c r="J483" s="10"/>
      <c r="Q483" s="11"/>
    </row>
    <row r="484" spans="1:17" s="1" customFormat="1" ht="15" x14ac:dyDescent="0.35">
      <c r="A484" s="36"/>
      <c r="B484" s="192" t="s">
        <v>285</v>
      </c>
      <c r="C484" s="189"/>
      <c r="D484" s="164"/>
      <c r="E484" s="164"/>
      <c r="F484" s="164"/>
      <c r="G484" s="366">
        <f>G472*G479</f>
        <v>2.9175850000000008</v>
      </c>
      <c r="H484" s="367"/>
      <c r="I484" s="18"/>
      <c r="J484" s="10"/>
      <c r="Q484" s="11"/>
    </row>
    <row r="485" spans="1:17" s="1" customFormat="1" ht="13.8" x14ac:dyDescent="0.3">
      <c r="A485" s="36"/>
      <c r="B485" s="43"/>
      <c r="C485" s="37"/>
      <c r="D485" s="10"/>
      <c r="E485" s="10"/>
      <c r="F485" s="10"/>
      <c r="G485" s="45"/>
      <c r="H485" s="45"/>
      <c r="I485" s="18"/>
      <c r="J485" s="10"/>
      <c r="Q485" s="11"/>
    </row>
    <row r="486" spans="1:17" s="1" customFormat="1" x14ac:dyDescent="0.25">
      <c r="A486" s="36"/>
      <c r="B486" s="27" t="s">
        <v>286</v>
      </c>
      <c r="C486" s="37"/>
      <c r="D486" s="10"/>
      <c r="E486" s="10"/>
      <c r="F486" s="10"/>
      <c r="G486" s="45"/>
      <c r="H486" s="45"/>
      <c r="I486" s="18"/>
      <c r="J486" s="10"/>
      <c r="Q486" s="11"/>
    </row>
    <row r="487" spans="1:17" s="1" customFormat="1" x14ac:dyDescent="0.25">
      <c r="A487" s="36"/>
      <c r="B487" s="27" t="s">
        <v>287</v>
      </c>
      <c r="C487" s="37"/>
      <c r="D487" s="10"/>
      <c r="E487" s="10"/>
      <c r="F487" s="10"/>
      <c r="G487" s="45"/>
      <c r="H487" s="45"/>
      <c r="I487" s="18"/>
      <c r="J487" s="10"/>
      <c r="Q487" s="11"/>
    </row>
    <row r="488" spans="1:17" s="1" customFormat="1" ht="15.6" x14ac:dyDescent="0.35">
      <c r="A488" s="36"/>
      <c r="B488" s="142" t="s">
        <v>198</v>
      </c>
      <c r="C488" s="368">
        <f>IF(I426="Rige",G426,G430)</f>
        <v>36.014544543750006</v>
      </c>
      <c r="D488" s="369"/>
      <c r="E488" s="10"/>
      <c r="F488" s="10"/>
      <c r="G488" s="45"/>
      <c r="H488" s="45"/>
      <c r="I488" s="18"/>
      <c r="J488" s="10"/>
      <c r="Q488" s="11"/>
    </row>
    <row r="489" spans="1:17" s="1" customFormat="1" ht="15.6" x14ac:dyDescent="0.35">
      <c r="A489" s="36"/>
      <c r="B489" s="188" t="s">
        <v>288</v>
      </c>
      <c r="C489" s="370">
        <f>G472</f>
        <v>1.7682333333333338</v>
      </c>
      <c r="D489" s="371"/>
      <c r="E489" s="10"/>
      <c r="F489" s="10"/>
      <c r="G489" s="45"/>
      <c r="H489" s="45"/>
      <c r="I489" s="18"/>
      <c r="J489" s="10"/>
      <c r="Q489" s="11"/>
    </row>
    <row r="490" spans="1:17" s="1" customFormat="1" x14ac:dyDescent="0.25">
      <c r="A490" s="36"/>
      <c r="B490" s="143" t="s">
        <v>183</v>
      </c>
      <c r="C490" s="372">
        <f>SUM(C488:D489)</f>
        <v>37.78277787708334</v>
      </c>
      <c r="D490" s="373"/>
      <c r="E490" s="10"/>
      <c r="F490" s="10"/>
      <c r="G490" s="45"/>
      <c r="H490" s="45"/>
      <c r="I490" s="18"/>
      <c r="J490" s="10"/>
      <c r="Q490" s="11"/>
    </row>
    <row r="491" spans="1:17" s="1" customFormat="1" x14ac:dyDescent="0.25">
      <c r="A491" s="36"/>
      <c r="B491" s="27" t="s">
        <v>289</v>
      </c>
      <c r="C491" s="37"/>
      <c r="D491" s="10"/>
      <c r="E491" s="10"/>
      <c r="F491" s="10"/>
      <c r="G491" s="45"/>
      <c r="H491" s="45"/>
      <c r="I491" s="18"/>
      <c r="J491" s="10"/>
      <c r="Q491" s="11"/>
    </row>
    <row r="492" spans="1:17" s="1" customFormat="1" ht="15.6" x14ac:dyDescent="0.35">
      <c r="A492" s="36"/>
      <c r="B492" s="142" t="s">
        <v>290</v>
      </c>
      <c r="C492" s="359">
        <f>G448</f>
        <v>43.217453452500017</v>
      </c>
      <c r="D492" s="360"/>
      <c r="E492" s="10"/>
      <c r="F492" s="10"/>
      <c r="G492" s="45"/>
      <c r="H492" s="45"/>
      <c r="I492" s="18"/>
      <c r="J492" s="10"/>
      <c r="Q492" s="11"/>
    </row>
    <row r="493" spans="1:17" s="1" customFormat="1" ht="15.6" x14ac:dyDescent="0.35">
      <c r="A493" s="36"/>
      <c r="B493" s="188" t="s">
        <v>291</v>
      </c>
      <c r="C493" s="361">
        <f>G484</f>
        <v>2.9175850000000008</v>
      </c>
      <c r="D493" s="362"/>
      <c r="E493" s="10"/>
      <c r="F493" s="10"/>
      <c r="G493" s="45"/>
      <c r="H493" s="45"/>
      <c r="I493" s="18"/>
      <c r="J493" s="10"/>
      <c r="Q493" s="11"/>
    </row>
    <row r="494" spans="1:17" s="1" customFormat="1" x14ac:dyDescent="0.25">
      <c r="A494" s="36"/>
      <c r="B494" s="143" t="s">
        <v>183</v>
      </c>
      <c r="C494" s="363">
        <f>SUM(C492:D493)</f>
        <v>46.135038452500019</v>
      </c>
      <c r="D494" s="364"/>
      <c r="E494" s="10"/>
      <c r="F494" s="10"/>
      <c r="G494" s="45"/>
      <c r="H494" s="45"/>
      <c r="I494" s="18"/>
      <c r="J494" s="10"/>
      <c r="Q494" s="11"/>
    </row>
    <row r="495" spans="1:17" s="1" customFormat="1" x14ac:dyDescent="0.25">
      <c r="A495" s="36"/>
      <c r="B495" s="27"/>
      <c r="C495" s="37"/>
      <c r="D495" s="10"/>
      <c r="E495" s="10"/>
      <c r="F495" s="10"/>
      <c r="G495" s="45"/>
      <c r="H495" s="45"/>
      <c r="I495" s="18"/>
      <c r="J495" s="10"/>
      <c r="Q495" s="11"/>
    </row>
    <row r="496" spans="1:17" s="1" customFormat="1" ht="12.75" customHeight="1" x14ac:dyDescent="0.3">
      <c r="A496" s="9">
        <f>A311+1</f>
        <v>9</v>
      </c>
      <c r="B496" s="5" t="s">
        <v>191</v>
      </c>
      <c r="C496" s="10"/>
      <c r="D496" s="10"/>
      <c r="E496" s="10"/>
      <c r="F496" s="10"/>
      <c r="G496" s="10"/>
      <c r="H496" s="10"/>
      <c r="I496" s="10"/>
      <c r="J496" s="10"/>
    </row>
    <row r="497" spans="1:17" s="1" customFormat="1" x14ac:dyDescent="0.25">
      <c r="A497" s="36"/>
      <c r="B497" s="27"/>
      <c r="C497" s="37"/>
      <c r="D497" s="10"/>
      <c r="E497" s="10"/>
      <c r="F497" s="10"/>
      <c r="G497" s="45"/>
      <c r="H497" s="45"/>
      <c r="I497" s="18"/>
      <c r="J497" s="10"/>
      <c r="Q497" s="11"/>
    </row>
    <row r="498" spans="1:17" s="1" customFormat="1" x14ac:dyDescent="0.25">
      <c r="A498" s="36"/>
      <c r="B498" s="27" t="s">
        <v>292</v>
      </c>
      <c r="C498" s="37"/>
      <c r="D498" s="10"/>
      <c r="E498" s="10"/>
      <c r="F498" s="10"/>
      <c r="G498" s="45"/>
      <c r="H498" s="45"/>
      <c r="I498" s="18"/>
      <c r="J498" s="10"/>
      <c r="Q498" s="11"/>
    </row>
    <row r="499" spans="1:17" s="1" customFormat="1" x14ac:dyDescent="0.25">
      <c r="A499" s="36"/>
      <c r="B499" s="27"/>
      <c r="C499" s="37"/>
      <c r="D499" s="10"/>
      <c r="E499" s="10"/>
      <c r="F499" s="10"/>
      <c r="G499" s="45"/>
      <c r="H499" s="45"/>
      <c r="I499" s="18"/>
      <c r="J499" s="10"/>
      <c r="Q499" s="11"/>
    </row>
    <row r="500" spans="1:17" s="1" customFormat="1" x14ac:dyDescent="0.25">
      <c r="A500" s="36"/>
      <c r="B500" s="27" t="s">
        <v>293</v>
      </c>
      <c r="C500" s="37" t="s">
        <v>294</v>
      </c>
      <c r="D500" s="10"/>
      <c r="E500" s="10"/>
      <c r="F500" s="10"/>
      <c r="G500" s="45" t="s">
        <v>295</v>
      </c>
      <c r="H500" s="45"/>
      <c r="I500" s="18"/>
      <c r="J500" s="10"/>
      <c r="Q500" s="11"/>
    </row>
    <row r="501" spans="1:17" s="1" customFormat="1" x14ac:dyDescent="0.25">
      <c r="A501" s="36"/>
      <c r="B501" s="27"/>
      <c r="C501" s="37"/>
      <c r="D501" s="10"/>
      <c r="E501" s="10"/>
      <c r="F501" s="10"/>
      <c r="G501" s="45"/>
      <c r="H501" s="45"/>
      <c r="I501" s="18"/>
      <c r="J501" s="10"/>
      <c r="Q501" s="11"/>
    </row>
    <row r="502" spans="1:17" s="1" customFormat="1" ht="12.75" customHeight="1" x14ac:dyDescent="0.3">
      <c r="A502" s="36" t="s">
        <v>12</v>
      </c>
      <c r="B502" s="43" t="s">
        <v>293</v>
      </c>
      <c r="C502" s="37" t="s">
        <v>296</v>
      </c>
      <c r="D502" s="10"/>
      <c r="E502" s="10"/>
      <c r="F502" s="10"/>
      <c r="G502" s="47"/>
      <c r="H502" s="48"/>
      <c r="I502" s="18"/>
      <c r="J502" s="10"/>
      <c r="Q502" s="11"/>
    </row>
    <row r="503" spans="1:17" s="1" customFormat="1" ht="13.8" x14ac:dyDescent="0.3">
      <c r="A503" s="36" t="s">
        <v>12</v>
      </c>
      <c r="B503" s="43" t="s">
        <v>297</v>
      </c>
      <c r="C503" s="37" t="s">
        <v>298</v>
      </c>
      <c r="D503" s="10"/>
      <c r="E503" s="10"/>
      <c r="F503" s="10"/>
      <c r="G503" s="365">
        <f>L_superestuctura*1000</f>
        <v>28000</v>
      </c>
      <c r="H503" s="365"/>
      <c r="I503" s="18"/>
      <c r="J503" s="10"/>
      <c r="Q503" s="11"/>
    </row>
    <row r="504" spans="1:17" s="1" customFormat="1" ht="12.75" customHeight="1" x14ac:dyDescent="0.3">
      <c r="A504" s="36" t="s">
        <v>12</v>
      </c>
      <c r="B504" s="43" t="s">
        <v>0</v>
      </c>
      <c r="C504" s="349" t="s">
        <v>299</v>
      </c>
      <c r="D504" s="349"/>
      <c r="E504" s="349"/>
      <c r="F504" s="349"/>
      <c r="G504" s="1">
        <v>0</v>
      </c>
      <c r="Q504" s="11"/>
    </row>
    <row r="505" spans="1:17" s="1" customFormat="1" x14ac:dyDescent="0.25">
      <c r="A505" s="36"/>
      <c r="B505" s="27"/>
      <c r="C505" s="349"/>
      <c r="D505" s="349"/>
      <c r="E505" s="349"/>
      <c r="F505" s="349"/>
      <c r="Q505" s="11"/>
    </row>
    <row r="506" spans="1:17" s="1" customFormat="1" x14ac:dyDescent="0.25">
      <c r="A506" s="36"/>
      <c r="B506" s="27"/>
      <c r="C506" s="349"/>
      <c r="D506" s="349"/>
      <c r="E506" s="349"/>
      <c r="F506" s="349"/>
      <c r="G506" s="49"/>
      <c r="H506" s="49"/>
      <c r="I506" s="49"/>
      <c r="J506" s="49"/>
      <c r="Q506" s="11"/>
    </row>
    <row r="507" spans="1:17" s="1" customFormat="1" ht="13.8" x14ac:dyDescent="0.3">
      <c r="A507" s="36" t="s">
        <v>12</v>
      </c>
      <c r="B507" s="43" t="s">
        <v>300</v>
      </c>
      <c r="C507" s="37" t="s">
        <v>301</v>
      </c>
      <c r="D507" s="10"/>
      <c r="E507" s="10"/>
      <c r="F507" s="10"/>
      <c r="G507" s="1">
        <v>0</v>
      </c>
      <c r="H507" s="48"/>
      <c r="I507" s="18"/>
      <c r="J507" s="10"/>
      <c r="Q507" s="11"/>
    </row>
    <row r="508" spans="1:17" s="1" customFormat="1" x14ac:dyDescent="0.25">
      <c r="A508" s="36"/>
      <c r="B508" s="27"/>
      <c r="C508" s="37"/>
      <c r="D508" s="10"/>
      <c r="E508" s="10"/>
      <c r="F508" s="10"/>
      <c r="G508" s="45"/>
      <c r="H508" s="45"/>
      <c r="I508" s="18"/>
      <c r="J508" s="10"/>
      <c r="Q508" s="11"/>
    </row>
    <row r="509" spans="1:17" s="1" customFormat="1" x14ac:dyDescent="0.25">
      <c r="A509" s="36"/>
      <c r="B509" s="27" t="s">
        <v>302</v>
      </c>
      <c r="C509" s="37"/>
      <c r="D509" s="10"/>
      <c r="E509" s="10"/>
      <c r="F509" s="10"/>
      <c r="G509" s="45"/>
      <c r="H509" s="45"/>
      <c r="I509" s="18"/>
      <c r="J509" s="10"/>
      <c r="Q509" s="11"/>
    </row>
    <row r="510" spans="1:17" s="1" customFormat="1" x14ac:dyDescent="0.25">
      <c r="A510" s="36"/>
      <c r="B510" s="27"/>
      <c r="C510" s="37"/>
      <c r="D510" s="10"/>
      <c r="E510" s="10"/>
      <c r="F510" s="10"/>
      <c r="G510" s="45"/>
      <c r="H510" s="45"/>
      <c r="I510" s="18"/>
      <c r="J510" s="10"/>
      <c r="Q510" s="11"/>
    </row>
    <row r="511" spans="1:17" s="1" customFormat="1" x14ac:dyDescent="0.25">
      <c r="A511" s="36"/>
      <c r="B511" s="174" t="s">
        <v>293</v>
      </c>
      <c r="C511" s="189"/>
      <c r="D511" s="164"/>
      <c r="E511" s="164"/>
      <c r="F511" s="164"/>
      <c r="G511" s="206">
        <f>(200+0.0017*L_superestuctura*1000+0.0067*G504)*(1+0.000125*G507^2)/1000</f>
        <v>0.24759999999999999</v>
      </c>
      <c r="H511" s="45"/>
      <c r="I511" s="18"/>
      <c r="J511" s="10"/>
      <c r="Q511" s="11"/>
    </row>
    <row r="512" spans="1:17" s="1" customFormat="1" ht="13.8" x14ac:dyDescent="0.3">
      <c r="A512" s="36"/>
      <c r="B512" s="43"/>
      <c r="C512" s="37"/>
      <c r="D512" s="10"/>
      <c r="E512" s="10"/>
      <c r="F512" s="10"/>
      <c r="G512" s="45"/>
      <c r="H512" s="45"/>
      <c r="I512" s="18"/>
      <c r="J512" s="10"/>
      <c r="Q512" s="11"/>
    </row>
    <row r="513" spans="1:17" s="1" customFormat="1" x14ac:dyDescent="0.25">
      <c r="A513" s="36"/>
      <c r="B513" s="336" t="s">
        <v>303</v>
      </c>
      <c r="C513" s="336"/>
      <c r="D513" s="336"/>
      <c r="E513" s="336"/>
      <c r="F513" s="336"/>
      <c r="G513" s="336"/>
      <c r="H513" s="336"/>
      <c r="I513" s="336"/>
      <c r="J513" s="336"/>
      <c r="Q513" s="11"/>
    </row>
    <row r="514" spans="1:17" s="1" customFormat="1" x14ac:dyDescent="0.25">
      <c r="A514" s="36"/>
      <c r="B514" s="336"/>
      <c r="C514" s="336"/>
      <c r="D514" s="336"/>
      <c r="E514" s="336"/>
      <c r="F514" s="336"/>
      <c r="G514" s="336"/>
      <c r="H514" s="336"/>
      <c r="I514" s="336"/>
      <c r="J514" s="336"/>
      <c r="Q514" s="11"/>
    </row>
    <row r="515" spans="1:17" s="1" customFormat="1" ht="13.8" x14ac:dyDescent="0.3">
      <c r="A515" s="36"/>
      <c r="B515" s="43"/>
      <c r="C515" s="37"/>
      <c r="D515" s="10"/>
      <c r="E515" s="10"/>
      <c r="F515" s="10"/>
      <c r="G515" s="45"/>
      <c r="H515" s="45"/>
      <c r="I515" s="18"/>
      <c r="J515" s="10"/>
      <c r="Q515" s="11"/>
    </row>
    <row r="516" spans="1:17" s="1" customFormat="1" x14ac:dyDescent="0.25">
      <c r="A516" s="36"/>
      <c r="B516" s="27" t="s">
        <v>304</v>
      </c>
      <c r="C516" s="37"/>
      <c r="D516" s="10"/>
      <c r="E516" s="10"/>
      <c r="F516" s="10"/>
      <c r="G516" s="45"/>
      <c r="H516" s="45"/>
      <c r="I516" s="18"/>
      <c r="J516" s="10"/>
      <c r="Q516" s="11"/>
    </row>
    <row r="517" spans="1:17" s="1" customFormat="1" x14ac:dyDescent="0.25">
      <c r="A517" s="36"/>
      <c r="B517" s="27"/>
      <c r="C517" s="37"/>
      <c r="D517" s="10"/>
      <c r="E517" s="10"/>
      <c r="F517" s="10"/>
      <c r="G517" s="45"/>
      <c r="H517" s="45"/>
      <c r="I517" s="18"/>
      <c r="J517" s="10"/>
      <c r="Q517" s="11"/>
    </row>
    <row r="518" spans="1:17" s="1" customFormat="1" ht="15.6" x14ac:dyDescent="0.35">
      <c r="A518" s="36"/>
      <c r="B518" s="174" t="s">
        <v>305</v>
      </c>
      <c r="C518" s="189"/>
      <c r="D518" s="164"/>
      <c r="E518" s="164"/>
      <c r="F518" s="164"/>
      <c r="G518" s="204">
        <f>1.5*G511</f>
        <v>0.37139999999999995</v>
      </c>
      <c r="H518" s="205" t="str">
        <f>IF(G518&lt;I518,"&lt;","&gt;")</f>
        <v>&lt;</v>
      </c>
      <c r="I518" s="204">
        <f>Espesor_vástago_estribo</f>
        <v>0.5</v>
      </c>
      <c r="J518" s="185" t="str">
        <f>IF(H518="&lt;","Cumple","No Cumple")</f>
        <v>Cumple</v>
      </c>
      <c r="Q518" s="11"/>
    </row>
    <row r="519" spans="1:17" s="1" customFormat="1" x14ac:dyDescent="0.25">
      <c r="A519" s="36"/>
      <c r="B519" s="27"/>
      <c r="C519" s="37"/>
      <c r="D519" s="10"/>
      <c r="E519" s="10"/>
      <c r="F519" s="10"/>
      <c r="G519" s="45"/>
      <c r="H519" s="45"/>
      <c r="I519" s="18"/>
      <c r="J519" s="10"/>
      <c r="Q519" s="11"/>
    </row>
    <row r="520" spans="1:17" s="1" customFormat="1" ht="12.75" customHeight="1" x14ac:dyDescent="0.3">
      <c r="A520" s="9">
        <f>A496+1</f>
        <v>10</v>
      </c>
      <c r="B520" s="5" t="s">
        <v>306</v>
      </c>
      <c r="C520" s="10"/>
      <c r="D520" s="10"/>
      <c r="E520" s="10"/>
      <c r="F520" s="10"/>
      <c r="G520" s="10"/>
      <c r="H520" s="10"/>
      <c r="I520" s="10"/>
      <c r="J520" s="10"/>
    </row>
    <row r="521" spans="1:17" s="1" customFormat="1" x14ac:dyDescent="0.25">
      <c r="A521" s="36"/>
      <c r="B521" s="27"/>
      <c r="C521" s="37"/>
      <c r="D521" s="10"/>
      <c r="E521" s="10"/>
      <c r="F521" s="10"/>
      <c r="G521" s="45"/>
      <c r="H521" s="45"/>
      <c r="I521" s="18"/>
      <c r="J521" s="10"/>
      <c r="Q521" s="11"/>
    </row>
    <row r="522" spans="1:17" s="1" customFormat="1" x14ac:dyDescent="0.3">
      <c r="A522" s="50">
        <f>1</f>
        <v>1</v>
      </c>
      <c r="B522" s="5" t="s">
        <v>307</v>
      </c>
      <c r="C522" s="10"/>
      <c r="D522" s="10"/>
      <c r="E522" s="10"/>
      <c r="F522" s="10"/>
      <c r="G522" s="10"/>
      <c r="H522" s="10"/>
      <c r="I522" s="10"/>
      <c r="J522" s="10"/>
      <c r="Q522" s="11"/>
    </row>
    <row r="523" spans="1:17" s="1" customFormat="1" x14ac:dyDescent="0.25">
      <c r="A523" s="36"/>
      <c r="B523" s="27"/>
      <c r="C523" s="37"/>
      <c r="D523" s="10"/>
      <c r="E523" s="10"/>
      <c r="F523" s="10"/>
      <c r="G523" s="45"/>
      <c r="H523" s="45"/>
      <c r="I523" s="18"/>
      <c r="J523" s="10"/>
      <c r="Q523" s="11"/>
    </row>
    <row r="524" spans="1:17" s="1" customFormat="1" x14ac:dyDescent="0.25">
      <c r="A524" s="36"/>
      <c r="B524" s="336" t="s">
        <v>308</v>
      </c>
      <c r="C524" s="336"/>
      <c r="D524" s="336"/>
      <c r="E524" s="336"/>
      <c r="F524" s="336"/>
      <c r="G524" s="336"/>
      <c r="H524" s="336"/>
      <c r="I524" s="336"/>
      <c r="J524" s="336"/>
      <c r="Q524" s="11"/>
    </row>
    <row r="525" spans="1:17" s="1" customFormat="1" x14ac:dyDescent="0.25">
      <c r="A525" s="36"/>
      <c r="B525" s="336"/>
      <c r="C525" s="336"/>
      <c r="D525" s="336"/>
      <c r="E525" s="336"/>
      <c r="F525" s="336"/>
      <c r="G525" s="336"/>
      <c r="H525" s="336"/>
      <c r="I525" s="336"/>
      <c r="J525" s="336"/>
      <c r="Q525" s="11"/>
    </row>
    <row r="526" spans="1:17" s="1" customFormat="1" x14ac:dyDescent="0.25">
      <c r="A526" s="36"/>
      <c r="B526" s="27"/>
      <c r="C526" s="37"/>
      <c r="D526" s="10"/>
      <c r="E526" s="10"/>
      <c r="F526" s="10"/>
      <c r="G526" s="45"/>
      <c r="H526" s="45"/>
      <c r="I526" s="18"/>
      <c r="J526" s="10"/>
      <c r="Q526" s="11"/>
    </row>
    <row r="527" spans="1:17" s="1" customFormat="1" x14ac:dyDescent="0.25">
      <c r="A527" s="36"/>
      <c r="B527" s="27" t="s">
        <v>309</v>
      </c>
      <c r="C527" s="37"/>
      <c r="D527" s="10"/>
      <c r="E527" s="10"/>
      <c r="F527" s="10"/>
      <c r="G527" s="45"/>
      <c r="H527" s="45"/>
      <c r="I527" s="18"/>
      <c r="J527" s="10"/>
      <c r="Q527" s="11"/>
    </row>
    <row r="528" spans="1:17" s="1" customFormat="1" x14ac:dyDescent="0.25">
      <c r="A528" s="36"/>
      <c r="B528" s="27"/>
      <c r="C528" s="37"/>
      <c r="D528" s="10"/>
      <c r="E528" s="10"/>
      <c r="F528" s="10"/>
      <c r="G528" s="45"/>
      <c r="H528" s="45"/>
      <c r="I528" s="18"/>
      <c r="J528" s="10"/>
      <c r="Q528" s="11"/>
    </row>
    <row r="529" spans="1:17" s="1" customFormat="1" x14ac:dyDescent="0.25">
      <c r="A529" s="36" t="s">
        <v>12</v>
      </c>
      <c r="B529" s="27" t="s">
        <v>310</v>
      </c>
      <c r="C529" s="37"/>
      <c r="D529" s="10"/>
      <c r="E529" s="10"/>
      <c r="F529" s="10"/>
      <c r="H529" s="48"/>
      <c r="I529" s="18"/>
      <c r="J529" s="10"/>
      <c r="Q529" s="11"/>
    </row>
    <row r="530" spans="1:17" s="1" customFormat="1" x14ac:dyDescent="0.25">
      <c r="A530" s="36" t="s">
        <v>12</v>
      </c>
      <c r="B530" s="27" t="s">
        <v>311</v>
      </c>
      <c r="C530" s="37"/>
      <c r="D530" s="10"/>
      <c r="E530" s="10"/>
      <c r="F530" s="10"/>
      <c r="H530" s="48"/>
      <c r="I530" s="18"/>
      <c r="J530" s="10"/>
      <c r="Q530" s="11"/>
    </row>
    <row r="531" spans="1:17" s="1" customFormat="1" x14ac:dyDescent="0.25">
      <c r="A531" s="36" t="s">
        <v>12</v>
      </c>
      <c r="B531" s="27" t="s">
        <v>312</v>
      </c>
      <c r="C531" s="37"/>
      <c r="D531" s="10"/>
      <c r="E531" s="10"/>
      <c r="F531" s="10"/>
      <c r="H531" s="48"/>
      <c r="I531" s="18"/>
      <c r="J531" s="10"/>
      <c r="Q531" s="11"/>
    </row>
    <row r="532" spans="1:17" s="1" customFormat="1" x14ac:dyDescent="0.25">
      <c r="A532" s="36"/>
      <c r="B532" s="27"/>
      <c r="C532" s="37"/>
      <c r="D532" s="10"/>
      <c r="E532" s="10"/>
      <c r="F532" s="10"/>
      <c r="G532" s="45"/>
      <c r="H532" s="45"/>
      <c r="I532" s="18"/>
      <c r="J532" s="10"/>
      <c r="Q532" s="11"/>
    </row>
    <row r="533" spans="1:17" s="1" customFormat="1" x14ac:dyDescent="0.25">
      <c r="A533" s="36"/>
      <c r="B533" s="27" t="s">
        <v>313</v>
      </c>
      <c r="C533" s="37"/>
      <c r="D533" s="10"/>
      <c r="E533" s="10"/>
      <c r="F533" s="10"/>
      <c r="G533" s="45"/>
      <c r="H533" s="45"/>
      <c r="I533" s="18"/>
      <c r="J533" s="10"/>
      <c r="Q533" s="11"/>
    </row>
    <row r="534" spans="1:17" s="1" customFormat="1" x14ac:dyDescent="0.25">
      <c r="A534" s="36"/>
      <c r="B534" s="27"/>
      <c r="C534" s="37"/>
      <c r="D534" s="10"/>
      <c r="E534" s="10"/>
      <c r="F534" s="10"/>
      <c r="G534" s="45"/>
      <c r="H534" s="45"/>
      <c r="I534" s="18"/>
      <c r="J534" s="10"/>
      <c r="Q534" s="11"/>
    </row>
    <row r="535" spans="1:17" s="1" customFormat="1" x14ac:dyDescent="0.25">
      <c r="A535" s="36"/>
      <c r="B535" s="27" t="s">
        <v>314</v>
      </c>
      <c r="C535" s="37"/>
      <c r="D535" s="10"/>
      <c r="E535" s="10"/>
      <c r="F535" s="10"/>
      <c r="G535" s="45"/>
      <c r="H535" s="45"/>
      <c r="I535" s="18"/>
      <c r="J535" s="10"/>
      <c r="Q535" s="11"/>
    </row>
    <row r="536" spans="1:17" s="1" customFormat="1" ht="15.6" x14ac:dyDescent="0.25">
      <c r="A536" s="36"/>
      <c r="B536" s="27" t="s">
        <v>315</v>
      </c>
      <c r="C536" s="37" t="s">
        <v>316</v>
      </c>
      <c r="E536" s="10" t="s">
        <v>317</v>
      </c>
      <c r="F536" s="51" t="s">
        <v>318</v>
      </c>
      <c r="G536" s="45"/>
      <c r="H536" s="45"/>
      <c r="I536" s="18"/>
      <c r="J536" s="10"/>
      <c r="Q536" s="11"/>
    </row>
    <row r="537" spans="1:17" s="1" customFormat="1" x14ac:dyDescent="0.25">
      <c r="A537" s="36"/>
      <c r="B537" s="27" t="s">
        <v>188</v>
      </c>
      <c r="C537" s="346">
        <f>G299</f>
        <v>29.414999999999999</v>
      </c>
      <c r="D537" s="346"/>
      <c r="E537" s="52">
        <f>G300</f>
        <v>1</v>
      </c>
      <c r="F537" s="339">
        <f>C537*E537</f>
        <v>29.414999999999999</v>
      </c>
      <c r="G537" s="339"/>
      <c r="H537" s="45"/>
      <c r="I537" s="18"/>
      <c r="J537" s="10"/>
      <c r="Q537" s="11"/>
    </row>
    <row r="538" spans="1:17" s="1" customFormat="1" ht="15.6" x14ac:dyDescent="0.35">
      <c r="A538" s="36"/>
      <c r="B538" s="27" t="s">
        <v>198</v>
      </c>
      <c r="C538" s="346">
        <f>IF(I426="Rige",G426,G430)</f>
        <v>36.014544543750006</v>
      </c>
      <c r="D538" s="346"/>
      <c r="E538" s="52">
        <f>G444</f>
        <v>1.2000000000000002</v>
      </c>
      <c r="F538" s="339">
        <f>C538*E538</f>
        <v>43.217453452500017</v>
      </c>
      <c r="G538" s="339"/>
      <c r="H538" s="45"/>
      <c r="I538" s="18"/>
      <c r="J538" s="10"/>
      <c r="Q538" s="11"/>
    </row>
    <row r="539" spans="1:17" s="1" customFormat="1" ht="15.6" x14ac:dyDescent="0.35">
      <c r="A539" s="36"/>
      <c r="B539" s="27" t="s">
        <v>288</v>
      </c>
      <c r="C539" s="346">
        <f>G472</f>
        <v>1.7682333333333338</v>
      </c>
      <c r="D539" s="346"/>
      <c r="E539" s="52">
        <f>G479</f>
        <v>1.65</v>
      </c>
      <c r="F539" s="339">
        <f>C539*E539</f>
        <v>2.9175850000000008</v>
      </c>
      <c r="G539" s="339"/>
      <c r="H539" s="45"/>
      <c r="I539" s="18"/>
      <c r="J539" s="10"/>
      <c r="Q539" s="11"/>
    </row>
    <row r="540" spans="1:17" s="1" customFormat="1" x14ac:dyDescent="0.25">
      <c r="A540" s="36"/>
      <c r="B540" s="27" t="s">
        <v>123</v>
      </c>
      <c r="C540" s="346">
        <f>BR</f>
        <v>0</v>
      </c>
      <c r="D540" s="346"/>
      <c r="E540" s="52">
        <f>IF(C540=0,0,(G204/BR))</f>
        <v>0</v>
      </c>
      <c r="F540" s="339">
        <f>C540*E540</f>
        <v>0</v>
      </c>
      <c r="G540" s="339"/>
      <c r="H540" s="45"/>
      <c r="I540" s="18"/>
      <c r="J540" s="10"/>
      <c r="Q540" s="11"/>
    </row>
    <row r="541" spans="1:17" s="1" customFormat="1" x14ac:dyDescent="0.25">
      <c r="A541" s="36"/>
      <c r="B541" s="27" t="s">
        <v>181</v>
      </c>
      <c r="C541" s="346">
        <f>LS_X</f>
        <v>17.649000000000001</v>
      </c>
      <c r="D541" s="346"/>
      <c r="E541" s="52">
        <f>G272/LS_X</f>
        <v>1.5</v>
      </c>
      <c r="F541" s="339">
        <f>C541*E541</f>
        <v>26.473500000000001</v>
      </c>
      <c r="G541" s="339"/>
      <c r="H541" s="45"/>
      <c r="I541" s="18"/>
      <c r="J541" s="10"/>
      <c r="Q541" s="11"/>
    </row>
    <row r="542" spans="1:17" s="1" customFormat="1" x14ac:dyDescent="0.25">
      <c r="A542" s="36"/>
      <c r="B542" s="27" t="s">
        <v>183</v>
      </c>
      <c r="C542" s="346">
        <f>SUM(C537:D541)</f>
        <v>84.846777877083341</v>
      </c>
      <c r="D542" s="346"/>
      <c r="E542" s="10"/>
      <c r="F542" s="339">
        <f>SUM(F537:G541)</f>
        <v>102.02353845250002</v>
      </c>
      <c r="G542" s="358"/>
      <c r="H542" s="45"/>
      <c r="I542" s="18"/>
      <c r="J542" s="10"/>
      <c r="Q542" s="11"/>
    </row>
    <row r="543" spans="1:17" s="1" customFormat="1" x14ac:dyDescent="0.25">
      <c r="A543" s="36"/>
      <c r="B543" s="27"/>
      <c r="C543" s="53"/>
      <c r="D543" s="53"/>
      <c r="E543" s="10"/>
      <c r="F543" s="54"/>
      <c r="G543" s="22"/>
      <c r="H543" s="45"/>
      <c r="I543" s="18"/>
      <c r="J543" s="10"/>
      <c r="Q543" s="11"/>
    </row>
    <row r="544" spans="1:17" s="1" customFormat="1" x14ac:dyDescent="0.25">
      <c r="A544" s="36"/>
      <c r="B544" s="27" t="s">
        <v>319</v>
      </c>
      <c r="C544" s="53"/>
      <c r="D544" s="53"/>
      <c r="E544" s="10"/>
      <c r="F544" s="54"/>
      <c r="G544" s="22"/>
      <c r="H544" s="45"/>
      <c r="I544" s="18"/>
      <c r="J544" s="10"/>
      <c r="Q544" s="11"/>
    </row>
    <row r="545" spans="1:17" s="1" customFormat="1" x14ac:dyDescent="0.25">
      <c r="A545" s="36"/>
      <c r="B545" s="207" t="s">
        <v>315</v>
      </c>
      <c r="C545" s="391" t="s">
        <v>320</v>
      </c>
      <c r="D545" s="392"/>
      <c r="E545" s="208" t="s">
        <v>321</v>
      </c>
      <c r="F545" s="393" t="s">
        <v>322</v>
      </c>
      <c r="G545" s="394"/>
      <c r="H545" s="211" t="s">
        <v>323</v>
      </c>
      <c r="I545" s="18"/>
      <c r="J545" s="10"/>
      <c r="Q545" s="11"/>
    </row>
    <row r="546" spans="1:17" s="1" customFormat="1" x14ac:dyDescent="0.25">
      <c r="A546" s="36"/>
      <c r="B546" s="207" t="s">
        <v>324</v>
      </c>
      <c r="C546" s="356">
        <f>DC</f>
        <v>4.1953333333333331</v>
      </c>
      <c r="D546" s="356"/>
      <c r="E546" s="210" t="s">
        <v>325</v>
      </c>
      <c r="F546" s="357">
        <f>G135</f>
        <v>5.2441666666666666</v>
      </c>
      <c r="G546" s="357"/>
      <c r="H546" s="212" t="s">
        <v>326</v>
      </c>
      <c r="I546" s="18"/>
      <c r="J546" s="10"/>
      <c r="Q546" s="11"/>
    </row>
    <row r="547" spans="1:17" s="1" customFormat="1" x14ac:dyDescent="0.25">
      <c r="A547" s="36"/>
      <c r="B547" s="207" t="s">
        <v>327</v>
      </c>
      <c r="C547" s="356">
        <f>DW_por_longitud</f>
        <v>0</v>
      </c>
      <c r="D547" s="356"/>
      <c r="E547" s="210" t="s">
        <v>325</v>
      </c>
      <c r="F547" s="357">
        <f>G139</f>
        <v>0</v>
      </c>
      <c r="G547" s="357"/>
      <c r="H547" s="212" t="s">
        <v>326</v>
      </c>
      <c r="I547" s="18"/>
      <c r="J547" s="10"/>
      <c r="Q547" s="11"/>
    </row>
    <row r="548" spans="1:17" s="1" customFormat="1" x14ac:dyDescent="0.25">
      <c r="A548" s="36"/>
      <c r="B548" s="207" t="s">
        <v>179</v>
      </c>
      <c r="C548" s="356">
        <f>R_A_estribo</f>
        <v>7.1940000000000017</v>
      </c>
      <c r="D548" s="356"/>
      <c r="E548" s="210" t="s">
        <v>325</v>
      </c>
      <c r="F548" s="357">
        <f>G185</f>
        <v>8.9925000000000015</v>
      </c>
      <c r="G548" s="357"/>
      <c r="H548" s="212" t="s">
        <v>326</v>
      </c>
      <c r="I548" s="18"/>
      <c r="J548" s="10"/>
      <c r="Q548" s="11"/>
    </row>
    <row r="549" spans="1:17" s="1" customFormat="1" x14ac:dyDescent="0.25">
      <c r="A549" s="36"/>
      <c r="B549" s="207" t="s">
        <v>123</v>
      </c>
      <c r="C549" s="356">
        <f>BR</f>
        <v>0</v>
      </c>
      <c r="D549" s="356"/>
      <c r="E549" s="210" t="s">
        <v>328</v>
      </c>
      <c r="F549" s="357">
        <f>G204</f>
        <v>0</v>
      </c>
      <c r="G549" s="357"/>
      <c r="H549" s="212" t="s">
        <v>329</v>
      </c>
      <c r="I549" s="18"/>
      <c r="J549" s="10"/>
      <c r="Q549" s="11"/>
    </row>
    <row r="550" spans="1:17" s="1" customFormat="1" x14ac:dyDescent="0.25">
      <c r="A550" s="36"/>
      <c r="B550" s="207" t="s">
        <v>330</v>
      </c>
      <c r="C550" s="356">
        <f>DC_estribo</f>
        <v>63.745080000000002</v>
      </c>
      <c r="D550" s="356"/>
      <c r="E550" s="210" t="s">
        <v>325</v>
      </c>
      <c r="F550" s="357">
        <f>DC_XA_estribo</f>
        <v>93.872877000000003</v>
      </c>
      <c r="G550" s="357"/>
      <c r="H550" s="212" t="s">
        <v>326</v>
      </c>
      <c r="I550" s="18"/>
      <c r="J550" s="10"/>
      <c r="Q550" s="11"/>
    </row>
    <row r="551" spans="1:17" s="1" customFormat="1" x14ac:dyDescent="0.25">
      <c r="A551" s="36"/>
      <c r="B551" s="207" t="s">
        <v>331</v>
      </c>
      <c r="C551" s="356">
        <f>DC_relleno</f>
        <v>52.211624999999998</v>
      </c>
      <c r="D551" s="356"/>
      <c r="E551" s="210" t="s">
        <v>325</v>
      </c>
      <c r="F551" s="357">
        <f>DC_XA_relleno</f>
        <v>113.56028437499998</v>
      </c>
      <c r="G551" s="357"/>
      <c r="H551" s="212" t="s">
        <v>326</v>
      </c>
      <c r="I551" s="18"/>
      <c r="J551" s="10"/>
      <c r="Q551" s="11"/>
    </row>
    <row r="552" spans="1:17" s="1" customFormat="1" ht="15.6" x14ac:dyDescent="0.35">
      <c r="A552" s="36"/>
      <c r="B552" s="207" t="s">
        <v>332</v>
      </c>
      <c r="C552" s="356">
        <f>LS_X</f>
        <v>17.649000000000001</v>
      </c>
      <c r="D552" s="356"/>
      <c r="E552" s="210" t="s">
        <v>328</v>
      </c>
      <c r="F552" s="357">
        <f>G272</f>
        <v>26.473500000000001</v>
      </c>
      <c r="G552" s="357"/>
      <c r="H552" s="212" t="s">
        <v>329</v>
      </c>
      <c r="I552" s="18"/>
      <c r="J552" s="10"/>
      <c r="Q552" s="11"/>
    </row>
    <row r="553" spans="1:17" s="1" customFormat="1" ht="15.6" x14ac:dyDescent="0.35">
      <c r="A553" s="36"/>
      <c r="B553" s="207" t="s">
        <v>333</v>
      </c>
      <c r="C553" s="356">
        <f>LS_Y</f>
        <v>5.0005500000000005</v>
      </c>
      <c r="D553" s="356"/>
      <c r="E553" s="210" t="s">
        <v>325</v>
      </c>
      <c r="F553" s="357">
        <f>G277</f>
        <v>10.87619625</v>
      </c>
      <c r="G553" s="357"/>
      <c r="H553" s="212" t="s">
        <v>326</v>
      </c>
      <c r="I553" s="18"/>
      <c r="J553" s="10"/>
      <c r="Q553" s="11"/>
    </row>
    <row r="554" spans="1:17" s="1" customFormat="1" x14ac:dyDescent="0.25">
      <c r="A554" s="36"/>
      <c r="B554" s="207" t="s">
        <v>334</v>
      </c>
      <c r="C554" s="356">
        <f>G299</f>
        <v>29.414999999999999</v>
      </c>
      <c r="D554" s="356"/>
      <c r="E554" s="210" t="s">
        <v>328</v>
      </c>
      <c r="F554" s="357">
        <f>G304</f>
        <v>29.414999999999999</v>
      </c>
      <c r="G554" s="357"/>
      <c r="H554" s="212" t="s">
        <v>329</v>
      </c>
      <c r="I554" s="18"/>
      <c r="J554" s="10"/>
      <c r="Q554" s="11"/>
    </row>
    <row r="555" spans="1:17" s="1" customFormat="1" ht="15.6" x14ac:dyDescent="0.35">
      <c r="A555" s="36"/>
      <c r="B555" s="207" t="s">
        <v>198</v>
      </c>
      <c r="C555" s="356">
        <f>IF(I426="Rige",G426,G430)</f>
        <v>36.014544543750006</v>
      </c>
      <c r="D555" s="356"/>
      <c r="E555" s="210" t="s">
        <v>328</v>
      </c>
      <c r="F555" s="357">
        <f>G448</f>
        <v>43.217453452500017</v>
      </c>
      <c r="G555" s="357"/>
      <c r="H555" s="212" t="s">
        <v>329</v>
      </c>
      <c r="I555" s="18"/>
      <c r="J555" s="10"/>
      <c r="Q555" s="11"/>
    </row>
    <row r="556" spans="1:17" s="1" customFormat="1" ht="15.6" x14ac:dyDescent="0.35">
      <c r="A556" s="36"/>
      <c r="B556" s="207" t="s">
        <v>288</v>
      </c>
      <c r="C556" s="356">
        <f>G472</f>
        <v>1.7682333333333338</v>
      </c>
      <c r="D556" s="356"/>
      <c r="E556" s="210" t="s">
        <v>328</v>
      </c>
      <c r="F556" s="357">
        <f>G484</f>
        <v>2.9175850000000008</v>
      </c>
      <c r="G556" s="357"/>
      <c r="H556" s="212" t="s">
        <v>329</v>
      </c>
      <c r="I556" s="18"/>
      <c r="J556" s="10"/>
      <c r="Q556" s="11"/>
    </row>
    <row r="557" spans="1:17" s="1" customFormat="1" x14ac:dyDescent="0.25">
      <c r="A557" s="36"/>
      <c r="B557" s="27"/>
      <c r="C557" s="53" t="s">
        <v>569</v>
      </c>
      <c r="D557" s="53"/>
      <c r="E557" s="10"/>
      <c r="F557" s="54"/>
      <c r="G557" s="22"/>
      <c r="H557" s="45"/>
      <c r="I557" s="18"/>
      <c r="J557" s="10"/>
      <c r="Q557" s="11"/>
    </row>
    <row r="558" spans="1:17" s="1" customFormat="1" x14ac:dyDescent="0.25">
      <c r="A558" s="36"/>
      <c r="B558" s="27" t="s">
        <v>335</v>
      </c>
      <c r="C558" s="53"/>
      <c r="D558" s="53"/>
      <c r="E558" s="10"/>
      <c r="F558" s="54"/>
      <c r="G558" s="22"/>
      <c r="H558" s="45"/>
      <c r="I558" s="18"/>
      <c r="J558" s="10"/>
      <c r="Q558" s="11"/>
    </row>
    <row r="559" spans="1:17" s="1" customFormat="1" ht="15.6" x14ac:dyDescent="0.35">
      <c r="A559" s="36"/>
      <c r="B559" s="27" t="s">
        <v>336</v>
      </c>
      <c r="C559" s="53"/>
      <c r="D559" s="53"/>
      <c r="E559" s="10"/>
      <c r="F559" s="54"/>
      <c r="G559" s="22"/>
      <c r="H559" s="45"/>
      <c r="I559" s="18"/>
      <c r="J559" s="10"/>
      <c r="Q559" s="11"/>
    </row>
    <row r="560" spans="1:17" s="1" customFormat="1" ht="15.6" x14ac:dyDescent="0.35">
      <c r="A560" s="36"/>
      <c r="B560" s="27" t="s">
        <v>337</v>
      </c>
      <c r="C560" s="53" t="s">
        <v>338</v>
      </c>
      <c r="D560" s="53" t="s">
        <v>339</v>
      </c>
      <c r="E560" s="10"/>
      <c r="F560" s="54"/>
      <c r="G560" s="22"/>
      <c r="H560" s="45"/>
      <c r="I560" s="18"/>
      <c r="J560" s="10"/>
      <c r="Q560" s="11"/>
    </row>
    <row r="561" spans="1:17" s="1" customFormat="1" x14ac:dyDescent="0.25">
      <c r="A561" s="36"/>
      <c r="B561" s="27" t="s">
        <v>173</v>
      </c>
      <c r="C561" s="55">
        <v>1.25</v>
      </c>
      <c r="D561" s="55">
        <v>0.9</v>
      </c>
      <c r="E561" s="10"/>
      <c r="F561" s="54"/>
      <c r="G561" s="22"/>
      <c r="H561" s="45"/>
      <c r="I561" s="18"/>
      <c r="J561" s="10"/>
      <c r="Q561" s="11"/>
    </row>
    <row r="562" spans="1:17" s="1" customFormat="1" x14ac:dyDescent="0.25">
      <c r="A562" s="36"/>
      <c r="B562" s="27" t="s">
        <v>90</v>
      </c>
      <c r="C562" s="55">
        <v>1.5</v>
      </c>
      <c r="D562" s="55">
        <v>0.65</v>
      </c>
      <c r="E562" s="10"/>
      <c r="F562" s="54"/>
      <c r="G562" s="22"/>
      <c r="H562" s="45"/>
      <c r="I562" s="18"/>
      <c r="J562" s="10"/>
      <c r="Q562" s="11"/>
    </row>
    <row r="563" spans="1:17" s="1" customFormat="1" x14ac:dyDescent="0.25">
      <c r="A563" s="36"/>
      <c r="B563" s="27" t="s">
        <v>188</v>
      </c>
      <c r="C563" s="55">
        <v>1.5</v>
      </c>
      <c r="D563" s="55">
        <v>0.9</v>
      </c>
      <c r="E563" s="10"/>
      <c r="F563" s="54"/>
      <c r="G563" s="22"/>
      <c r="H563" s="45"/>
      <c r="I563" s="18"/>
      <c r="J563" s="10"/>
      <c r="Q563" s="11"/>
    </row>
    <row r="564" spans="1:17" s="1" customFormat="1" x14ac:dyDescent="0.25">
      <c r="A564" s="36"/>
      <c r="B564" s="27" t="s">
        <v>177</v>
      </c>
      <c r="C564" s="55">
        <v>1.35</v>
      </c>
      <c r="D564" s="55">
        <v>1</v>
      </c>
      <c r="E564" s="10"/>
      <c r="F564" s="54"/>
      <c r="G564" s="22"/>
      <c r="H564" s="45"/>
      <c r="I564" s="18"/>
      <c r="J564" s="10"/>
      <c r="Q564" s="11"/>
    </row>
    <row r="565" spans="1:17" s="1" customFormat="1" x14ac:dyDescent="0.25">
      <c r="A565" s="36"/>
      <c r="B565" s="27" t="s">
        <v>177</v>
      </c>
      <c r="C565" s="55">
        <v>1</v>
      </c>
      <c r="D565" s="55">
        <v>0</v>
      </c>
      <c r="E565" s="10"/>
      <c r="F565" s="54"/>
      <c r="G565" s="22"/>
      <c r="H565" s="45"/>
      <c r="I565" s="18"/>
      <c r="J565" s="10"/>
      <c r="Q565" s="11"/>
    </row>
    <row r="566" spans="1:17" s="1" customFormat="1" x14ac:dyDescent="0.25">
      <c r="A566" s="36"/>
      <c r="B566" s="27" t="s">
        <v>340</v>
      </c>
      <c r="C566" s="55">
        <v>1.5</v>
      </c>
      <c r="D566" s="55">
        <v>0.75</v>
      </c>
      <c r="E566" s="10"/>
      <c r="F566" s="54"/>
      <c r="G566" s="22"/>
      <c r="H566" s="45"/>
      <c r="I566" s="18"/>
      <c r="J566" s="10"/>
      <c r="Q566" s="11"/>
    </row>
    <row r="567" spans="1:17" s="1" customFormat="1" x14ac:dyDescent="0.25">
      <c r="A567" s="36"/>
      <c r="B567" s="27" t="s">
        <v>341</v>
      </c>
      <c r="C567" s="55">
        <v>1</v>
      </c>
      <c r="D567" s="55">
        <v>1</v>
      </c>
      <c r="E567" s="10"/>
      <c r="F567" s="54"/>
      <c r="G567" s="22"/>
      <c r="H567" s="45"/>
      <c r="I567" s="18"/>
      <c r="J567" s="10"/>
      <c r="Q567" s="11"/>
    </row>
    <row r="568" spans="1:17" s="1" customFormat="1" x14ac:dyDescent="0.25">
      <c r="A568" s="36"/>
      <c r="B568" s="27" t="s">
        <v>181</v>
      </c>
      <c r="C568" s="55">
        <v>1.75</v>
      </c>
      <c r="D568" s="55">
        <v>0</v>
      </c>
      <c r="E568" s="10"/>
      <c r="F568" s="54"/>
      <c r="G568" s="22"/>
      <c r="H568" s="45"/>
      <c r="I568" s="18"/>
      <c r="J568" s="10"/>
      <c r="Q568" s="11"/>
    </row>
    <row r="569" spans="1:17" s="1" customFormat="1" x14ac:dyDescent="0.25">
      <c r="A569" s="36"/>
      <c r="B569" s="27"/>
      <c r="C569" s="53"/>
      <c r="D569" s="53"/>
      <c r="E569" s="10"/>
      <c r="F569" s="54"/>
      <c r="G569" s="22"/>
      <c r="H569" s="45"/>
      <c r="I569" s="18"/>
      <c r="J569" s="10"/>
      <c r="Q569" s="11"/>
    </row>
    <row r="570" spans="1:17" s="1" customFormat="1" x14ac:dyDescent="0.25">
      <c r="A570" s="36"/>
      <c r="B570" s="27" t="s">
        <v>342</v>
      </c>
      <c r="C570" s="53"/>
      <c r="D570" s="53"/>
      <c r="E570" s="10"/>
      <c r="F570" s="54"/>
      <c r="G570" s="22"/>
      <c r="H570" s="45"/>
      <c r="J570" s="10"/>
      <c r="Q570" s="11"/>
    </row>
    <row r="571" spans="1:17" s="1" customFormat="1" x14ac:dyDescent="0.25">
      <c r="A571" s="36"/>
      <c r="B571" s="207" t="s">
        <v>315</v>
      </c>
      <c r="C571" s="208" t="s">
        <v>343</v>
      </c>
      <c r="D571" s="208" t="s">
        <v>344</v>
      </c>
      <c r="E571" s="210" t="s">
        <v>90</v>
      </c>
      <c r="F571" s="211" t="s">
        <v>177</v>
      </c>
      <c r="G571" s="213" t="s">
        <v>345</v>
      </c>
      <c r="H571" s="212" t="s">
        <v>181</v>
      </c>
      <c r="I571" s="351" t="s">
        <v>183</v>
      </c>
      <c r="J571" s="355" t="s">
        <v>346</v>
      </c>
      <c r="Q571" s="11"/>
    </row>
    <row r="572" spans="1:17" s="1" customFormat="1" ht="15.6" x14ac:dyDescent="0.25">
      <c r="A572" s="36"/>
      <c r="B572" s="209" t="s">
        <v>347</v>
      </c>
      <c r="C572" s="214">
        <f>C546</f>
        <v>4.1953333333333331</v>
      </c>
      <c r="D572" s="214">
        <f>C550</f>
        <v>63.745080000000002</v>
      </c>
      <c r="E572" s="214">
        <f>C547</f>
        <v>0</v>
      </c>
      <c r="F572" s="214">
        <f>C551</f>
        <v>52.211624999999998</v>
      </c>
      <c r="G572" s="214">
        <f>C548</f>
        <v>7.1940000000000017</v>
      </c>
      <c r="H572" s="214">
        <f>C553</f>
        <v>5.0005500000000005</v>
      </c>
      <c r="I572" s="351"/>
      <c r="J572" s="355"/>
      <c r="Q572" s="11"/>
    </row>
    <row r="573" spans="1:17" s="1" customFormat="1" x14ac:dyDescent="0.25">
      <c r="A573" s="36"/>
      <c r="B573" s="351" t="s">
        <v>348</v>
      </c>
      <c r="C573" s="214">
        <f t="shared" ref="C573:H573" si="2">VLOOKUP(LEFT(C$571,2),$B$561:$D$568,IF($B573="Caso Max",2,3),FALSE)</f>
        <v>1.25</v>
      </c>
      <c r="D573" s="214">
        <f t="shared" si="2"/>
        <v>1.25</v>
      </c>
      <c r="E573" s="214">
        <f t="shared" si="2"/>
        <v>1.5</v>
      </c>
      <c r="F573" s="214">
        <f t="shared" si="2"/>
        <v>1.35</v>
      </c>
      <c r="G573" s="214">
        <f t="shared" si="2"/>
        <v>1.75</v>
      </c>
      <c r="H573" s="214">
        <f t="shared" si="2"/>
        <v>1.75</v>
      </c>
      <c r="I573" s="351">
        <f>SUM(C574:H574)</f>
        <v>176.75167291666668</v>
      </c>
      <c r="J573" s="352" t="s">
        <v>349</v>
      </c>
      <c r="Q573" s="11"/>
    </row>
    <row r="574" spans="1:17" s="1" customFormat="1" x14ac:dyDescent="0.25">
      <c r="A574" s="36"/>
      <c r="B574" s="351"/>
      <c r="C574" s="214">
        <f t="shared" ref="C574:H574" si="3">C$572*C573</f>
        <v>5.2441666666666666</v>
      </c>
      <c r="D574" s="214">
        <f t="shared" si="3"/>
        <v>79.681350000000009</v>
      </c>
      <c r="E574" s="214">
        <f t="shared" si="3"/>
        <v>0</v>
      </c>
      <c r="F574" s="214">
        <f t="shared" si="3"/>
        <v>70.485693749999996</v>
      </c>
      <c r="G574" s="214">
        <f t="shared" si="3"/>
        <v>12.589500000000003</v>
      </c>
      <c r="H574" s="214">
        <f t="shared" si="3"/>
        <v>8.7509625</v>
      </c>
      <c r="I574" s="351"/>
      <c r="J574" s="352"/>
      <c r="Q574" s="11"/>
    </row>
    <row r="575" spans="1:17" s="1" customFormat="1" x14ac:dyDescent="0.25">
      <c r="A575" s="36"/>
      <c r="B575" s="351" t="s">
        <v>350</v>
      </c>
      <c r="C575" s="214">
        <f t="shared" ref="C575:H575" si="4">VLOOKUP(LEFT(C$571,2),$B$561:$D$568,IF($B575="Caso Max",2,3),FALSE)</f>
        <v>0.9</v>
      </c>
      <c r="D575" s="214">
        <f t="shared" si="4"/>
        <v>0.9</v>
      </c>
      <c r="E575" s="214">
        <f t="shared" si="4"/>
        <v>0.65</v>
      </c>
      <c r="F575" s="214">
        <f t="shared" si="4"/>
        <v>1</v>
      </c>
      <c r="G575" s="214">
        <f t="shared" si="4"/>
        <v>0</v>
      </c>
      <c r="H575" s="214">
        <f t="shared" si="4"/>
        <v>0</v>
      </c>
      <c r="I575" s="351">
        <f>SUM(C576:H576)</f>
        <v>113.357997</v>
      </c>
      <c r="J575" s="352"/>
      <c r="Q575" s="11"/>
    </row>
    <row r="576" spans="1:17" s="1" customFormat="1" x14ac:dyDescent="0.25">
      <c r="A576" s="36"/>
      <c r="B576" s="351"/>
      <c r="C576" s="214">
        <f t="shared" ref="C576:H576" si="5">C$572*C575</f>
        <v>3.7757999999999998</v>
      </c>
      <c r="D576" s="214">
        <f t="shared" si="5"/>
        <v>57.370572000000003</v>
      </c>
      <c r="E576" s="214">
        <f t="shared" si="5"/>
        <v>0</v>
      </c>
      <c r="F576" s="214">
        <f t="shared" si="5"/>
        <v>52.211624999999998</v>
      </c>
      <c r="G576" s="214">
        <f t="shared" si="5"/>
        <v>0</v>
      </c>
      <c r="H576" s="214">
        <f t="shared" si="5"/>
        <v>0</v>
      </c>
      <c r="I576" s="351"/>
      <c r="J576" s="352"/>
      <c r="Q576" s="11"/>
    </row>
    <row r="577" spans="1:17" s="1" customFormat="1" x14ac:dyDescent="0.25">
      <c r="A577" s="36"/>
      <c r="B577" s="351" t="s">
        <v>348</v>
      </c>
      <c r="C577" s="214">
        <f>VLOOKUP(LEFT(C$571,2),$B$561:$D$568,IF($B577="Caso Max",2,3),FALSE)</f>
        <v>1.25</v>
      </c>
      <c r="D577" s="214">
        <f>VLOOKUP(LEFT(D$571,2),$B$561:$D$568,IF($B577="Caso Max",2,3),FALSE)</f>
        <v>1.25</v>
      </c>
      <c r="E577" s="214">
        <f>VLOOKUP(LEFT(E$571,2),$B$561:$D$568,IF($B577="Caso Max",2,3),FALSE)</f>
        <v>1.5</v>
      </c>
      <c r="F577" s="214">
        <f>VLOOKUP(LEFT(F$571,2),$B$561:$D$568,IF($B577="Caso Max",2,3),FALSE)</f>
        <v>1.35</v>
      </c>
      <c r="G577" s="214">
        <v>0.5</v>
      </c>
      <c r="H577" s="214">
        <v>0.5</v>
      </c>
      <c r="I577" s="351">
        <f>SUM(C578:H578)</f>
        <v>161.50848541666667</v>
      </c>
      <c r="J577" s="354" t="s">
        <v>351</v>
      </c>
      <c r="Q577" s="11"/>
    </row>
    <row r="578" spans="1:17" s="1" customFormat="1" x14ac:dyDescent="0.25">
      <c r="A578" s="36"/>
      <c r="B578" s="351"/>
      <c r="C578" s="214">
        <f t="shared" ref="C578:H578" si="6">C$572*C577</f>
        <v>5.2441666666666666</v>
      </c>
      <c r="D578" s="214">
        <f t="shared" si="6"/>
        <v>79.681350000000009</v>
      </c>
      <c r="E578" s="214">
        <f t="shared" si="6"/>
        <v>0</v>
      </c>
      <c r="F578" s="214">
        <f t="shared" si="6"/>
        <v>70.485693749999996</v>
      </c>
      <c r="G578" s="214">
        <f t="shared" si="6"/>
        <v>3.5970000000000009</v>
      </c>
      <c r="H578" s="214">
        <f t="shared" si="6"/>
        <v>2.5002750000000002</v>
      </c>
      <c r="I578" s="351"/>
      <c r="J578" s="354"/>
      <c r="Q578" s="11"/>
    </row>
    <row r="579" spans="1:17" s="1" customFormat="1" x14ac:dyDescent="0.25">
      <c r="A579" s="36"/>
      <c r="B579" s="351" t="s">
        <v>350</v>
      </c>
      <c r="C579" s="214">
        <f t="shared" ref="C579:H579" si="7">VLOOKUP(LEFT(C$571,2),$B$561:$D$568,IF($B579="Caso Max",2,3),FALSE)</f>
        <v>0.9</v>
      </c>
      <c r="D579" s="214">
        <f t="shared" si="7"/>
        <v>0.9</v>
      </c>
      <c r="E579" s="214">
        <f t="shared" si="7"/>
        <v>0.65</v>
      </c>
      <c r="F579" s="214">
        <f t="shared" si="7"/>
        <v>1</v>
      </c>
      <c r="G579" s="214">
        <f t="shared" si="7"/>
        <v>0</v>
      </c>
      <c r="H579" s="214">
        <f t="shared" si="7"/>
        <v>0</v>
      </c>
      <c r="I579" s="351">
        <f>SUM(C580:H580)</f>
        <v>113.357997</v>
      </c>
      <c r="J579" s="354"/>
      <c r="Q579" s="11"/>
    </row>
    <row r="580" spans="1:17" s="1" customFormat="1" x14ac:dyDescent="0.25">
      <c r="A580" s="36"/>
      <c r="B580" s="351"/>
      <c r="C580" s="214">
        <f t="shared" ref="C580:H580" si="8">C$572*C579</f>
        <v>3.7757999999999998</v>
      </c>
      <c r="D580" s="214">
        <f t="shared" si="8"/>
        <v>57.370572000000003</v>
      </c>
      <c r="E580" s="214">
        <f t="shared" si="8"/>
        <v>0</v>
      </c>
      <c r="F580" s="214">
        <f t="shared" si="8"/>
        <v>52.211624999999998</v>
      </c>
      <c r="G580" s="214">
        <f t="shared" si="8"/>
        <v>0</v>
      </c>
      <c r="H580" s="214">
        <f t="shared" si="8"/>
        <v>0</v>
      </c>
      <c r="I580" s="351"/>
      <c r="J580" s="354"/>
      <c r="Q580" s="11"/>
    </row>
    <row r="581" spans="1:17" s="1" customFormat="1" x14ac:dyDescent="0.25">
      <c r="A581" s="36"/>
      <c r="B581" s="351" t="s">
        <v>352</v>
      </c>
      <c r="C581" s="214">
        <v>1</v>
      </c>
      <c r="D581" s="214">
        <v>1</v>
      </c>
      <c r="E581" s="214">
        <v>1</v>
      </c>
      <c r="F581" s="214">
        <v>1</v>
      </c>
      <c r="G581" s="214">
        <v>1</v>
      </c>
      <c r="H581" s="214">
        <v>1</v>
      </c>
      <c r="I581" s="351">
        <f>SUM(C582:H582)</f>
        <v>132.34658833333333</v>
      </c>
      <c r="J581" s="352" t="s">
        <v>312</v>
      </c>
      <c r="Q581" s="11"/>
    </row>
    <row r="582" spans="1:17" s="1" customFormat="1" x14ac:dyDescent="0.25">
      <c r="A582" s="36"/>
      <c r="B582" s="351"/>
      <c r="C582" s="214">
        <f t="shared" ref="C582:H582" si="9">C$572*C581</f>
        <v>4.1953333333333331</v>
      </c>
      <c r="D582" s="214">
        <f t="shared" si="9"/>
        <v>63.745080000000002</v>
      </c>
      <c r="E582" s="214">
        <f t="shared" si="9"/>
        <v>0</v>
      </c>
      <c r="F582" s="214">
        <f t="shared" si="9"/>
        <v>52.211624999999998</v>
      </c>
      <c r="G582" s="214">
        <f t="shared" si="9"/>
        <v>7.1940000000000017</v>
      </c>
      <c r="H582" s="214">
        <f t="shared" si="9"/>
        <v>5.0005500000000005</v>
      </c>
      <c r="I582" s="351"/>
      <c r="J582" s="352"/>
      <c r="Q582" s="11"/>
    </row>
    <row r="583" spans="1:17" s="1" customFormat="1" x14ac:dyDescent="0.25">
      <c r="A583" s="36"/>
      <c r="B583" s="27"/>
      <c r="C583" s="53"/>
      <c r="D583" s="53"/>
      <c r="F583" s="54"/>
      <c r="G583" s="22"/>
      <c r="H583" s="45"/>
      <c r="I583" s="18"/>
      <c r="J583" s="10"/>
      <c r="Q583" s="11"/>
    </row>
    <row r="584" spans="1:17" s="1" customFormat="1" x14ac:dyDescent="0.25">
      <c r="A584" s="36"/>
      <c r="B584" s="336" t="s">
        <v>353</v>
      </c>
      <c r="C584" s="336"/>
      <c r="D584" s="336"/>
      <c r="E584" s="336"/>
      <c r="F584" s="336"/>
      <c r="G584" s="336"/>
      <c r="H584" s="336"/>
      <c r="I584" s="336"/>
      <c r="J584" s="336"/>
      <c r="Q584" s="11"/>
    </row>
    <row r="585" spans="1:17" s="1" customFormat="1" x14ac:dyDescent="0.25">
      <c r="A585" s="36"/>
      <c r="B585" s="336"/>
      <c r="C585" s="336"/>
      <c r="D585" s="336"/>
      <c r="E585" s="336"/>
      <c r="F585" s="336"/>
      <c r="G585" s="336"/>
      <c r="H585" s="336"/>
      <c r="I585" s="336"/>
      <c r="J585" s="336"/>
      <c r="Q585" s="11"/>
    </row>
    <row r="586" spans="1:17" s="1" customFormat="1" x14ac:dyDescent="0.25">
      <c r="A586" s="36"/>
      <c r="B586" s="27"/>
      <c r="C586" s="37"/>
      <c r="D586" s="10"/>
      <c r="E586" s="10"/>
      <c r="F586" s="10"/>
      <c r="G586" s="45"/>
      <c r="H586" s="45"/>
      <c r="I586" s="18"/>
      <c r="J586" s="10"/>
      <c r="Q586" s="11"/>
    </row>
    <row r="587" spans="1:17" s="1" customFormat="1" x14ac:dyDescent="0.25">
      <c r="A587" s="36"/>
      <c r="B587" s="27" t="s">
        <v>354</v>
      </c>
      <c r="C587" s="37"/>
      <c r="D587" s="10"/>
      <c r="E587" s="10"/>
      <c r="F587" s="10"/>
      <c r="G587" s="45"/>
      <c r="H587" s="45"/>
      <c r="I587" s="18"/>
      <c r="J587" s="10"/>
      <c r="Q587" s="11"/>
    </row>
    <row r="588" spans="1:17" s="1" customFormat="1" x14ac:dyDescent="0.25">
      <c r="A588" s="36"/>
      <c r="B588" s="207" t="s">
        <v>315</v>
      </c>
      <c r="C588" s="208" t="s">
        <v>343</v>
      </c>
      <c r="D588" s="208" t="s">
        <v>344</v>
      </c>
      <c r="E588" s="210" t="s">
        <v>90</v>
      </c>
      <c r="F588" s="211" t="s">
        <v>177</v>
      </c>
      <c r="G588" s="213" t="s">
        <v>345</v>
      </c>
      <c r="H588" s="212" t="s">
        <v>181</v>
      </c>
      <c r="I588" s="351" t="s">
        <v>183</v>
      </c>
      <c r="J588" s="355" t="s">
        <v>346</v>
      </c>
      <c r="Q588" s="11"/>
    </row>
    <row r="589" spans="1:17" s="1" customFormat="1" ht="15.6" x14ac:dyDescent="0.25">
      <c r="A589" s="36"/>
      <c r="B589" s="209" t="s">
        <v>355</v>
      </c>
      <c r="C589" s="214">
        <f>F546</f>
        <v>5.2441666666666666</v>
      </c>
      <c r="D589" s="214">
        <f>F550</f>
        <v>93.872877000000003</v>
      </c>
      <c r="E589" s="214">
        <f>F547</f>
        <v>0</v>
      </c>
      <c r="F589" s="214">
        <f>F551</f>
        <v>113.56028437499998</v>
      </c>
      <c r="G589" s="214">
        <f>F548</f>
        <v>8.9925000000000015</v>
      </c>
      <c r="H589" s="214">
        <f>F553</f>
        <v>10.87619625</v>
      </c>
      <c r="I589" s="351"/>
      <c r="J589" s="355"/>
      <c r="Q589" s="11"/>
    </row>
    <row r="590" spans="1:17" s="1" customFormat="1" x14ac:dyDescent="0.25">
      <c r="A590" s="36"/>
      <c r="B590" s="351" t="s">
        <v>348</v>
      </c>
      <c r="C590" s="214">
        <f t="shared" ref="C590:H590" si="10">VLOOKUP(LEFT(C$571,2),$B$561:$D$568,IF($B590="Caso Max",2,3),FALSE)</f>
        <v>1.25</v>
      </c>
      <c r="D590" s="214">
        <f t="shared" si="10"/>
        <v>1.25</v>
      </c>
      <c r="E590" s="214">
        <f t="shared" si="10"/>
        <v>1.5</v>
      </c>
      <c r="F590" s="214">
        <f t="shared" si="10"/>
        <v>1.35</v>
      </c>
      <c r="G590" s="214">
        <f t="shared" si="10"/>
        <v>1.75</v>
      </c>
      <c r="H590" s="214">
        <f t="shared" si="10"/>
        <v>1.75</v>
      </c>
      <c r="I590" s="351">
        <f>SUM(C591:H591)</f>
        <v>311.97290692708333</v>
      </c>
      <c r="J590" s="352" t="s">
        <v>349</v>
      </c>
      <c r="Q590" s="11"/>
    </row>
    <row r="591" spans="1:17" s="1" customFormat="1" x14ac:dyDescent="0.25">
      <c r="A591" s="36"/>
      <c r="B591" s="351"/>
      <c r="C591" s="214">
        <f t="shared" ref="C591:H591" si="11">C$589*C590</f>
        <v>6.5552083333333329</v>
      </c>
      <c r="D591" s="214">
        <f t="shared" si="11"/>
        <v>117.34109625000001</v>
      </c>
      <c r="E591" s="214">
        <f t="shared" si="11"/>
        <v>0</v>
      </c>
      <c r="F591" s="214">
        <f t="shared" si="11"/>
        <v>153.30638390624998</v>
      </c>
      <c r="G591" s="214">
        <f t="shared" si="11"/>
        <v>15.736875000000003</v>
      </c>
      <c r="H591" s="214">
        <f t="shared" si="11"/>
        <v>19.033343437500001</v>
      </c>
      <c r="I591" s="351"/>
      <c r="J591" s="352"/>
      <c r="Q591" s="11"/>
    </row>
    <row r="592" spans="1:17" s="1" customFormat="1" x14ac:dyDescent="0.25">
      <c r="A592" s="36"/>
      <c r="B592" s="351" t="s">
        <v>350</v>
      </c>
      <c r="C592" s="214">
        <f t="shared" ref="C592:H592" si="12">VLOOKUP(LEFT(C$571,2),$B$561:$D$568,IF($B592="Caso Max",2,3),FALSE)</f>
        <v>0.9</v>
      </c>
      <c r="D592" s="214">
        <f t="shared" si="12"/>
        <v>0.9</v>
      </c>
      <c r="E592" s="214">
        <f t="shared" si="12"/>
        <v>0.65</v>
      </c>
      <c r="F592" s="214">
        <f t="shared" si="12"/>
        <v>1</v>
      </c>
      <c r="G592" s="214">
        <f t="shared" si="12"/>
        <v>0</v>
      </c>
      <c r="H592" s="214">
        <f t="shared" si="12"/>
        <v>0</v>
      </c>
      <c r="I592" s="351">
        <f>SUM(C593:H593)</f>
        <v>202.76562367499997</v>
      </c>
      <c r="J592" s="352"/>
      <c r="Q592" s="11"/>
    </row>
    <row r="593" spans="1:17" s="1" customFormat="1" x14ac:dyDescent="0.25">
      <c r="A593" s="36"/>
      <c r="B593" s="351"/>
      <c r="C593" s="214">
        <f t="shared" ref="C593:H593" si="13">C$589*C592</f>
        <v>4.7197500000000003</v>
      </c>
      <c r="D593" s="214">
        <f t="shared" si="13"/>
        <v>84.485589300000001</v>
      </c>
      <c r="E593" s="214">
        <f t="shared" si="13"/>
        <v>0</v>
      </c>
      <c r="F593" s="214">
        <f t="shared" si="13"/>
        <v>113.56028437499998</v>
      </c>
      <c r="G593" s="214">
        <f t="shared" si="13"/>
        <v>0</v>
      </c>
      <c r="H593" s="214">
        <f t="shared" si="13"/>
        <v>0</v>
      </c>
      <c r="I593" s="351"/>
      <c r="J593" s="352"/>
      <c r="Q593" s="11"/>
    </row>
    <row r="594" spans="1:17" s="1" customFormat="1" x14ac:dyDescent="0.25">
      <c r="A594" s="36"/>
      <c r="B594" s="351" t="s">
        <v>348</v>
      </c>
      <c r="C594" s="214">
        <f>VLOOKUP(LEFT(C$571,2),$B$561:$D$568,IF($B594="Caso Max",2,3),FALSE)</f>
        <v>1.25</v>
      </c>
      <c r="D594" s="214">
        <f>VLOOKUP(LEFT(D$571,2),$B$561:$D$568,IF($B594="Caso Max",2,3),FALSE)</f>
        <v>1.25</v>
      </c>
      <c r="E594" s="214">
        <f>VLOOKUP(LEFT(E$571,2),$B$561:$D$568,IF($B594="Caso Max",2,3),FALSE)</f>
        <v>1.5</v>
      </c>
      <c r="F594" s="214">
        <f>VLOOKUP(LEFT(F$571,2),$B$561:$D$568,IF($B594="Caso Max",2,3),FALSE)</f>
        <v>1.35</v>
      </c>
      <c r="G594" s="214">
        <v>0.5</v>
      </c>
      <c r="H594" s="214">
        <v>0.5</v>
      </c>
      <c r="I594" s="351">
        <f>SUM(C595:H595)</f>
        <v>287.13703661458334</v>
      </c>
      <c r="J594" s="354" t="s">
        <v>351</v>
      </c>
      <c r="Q594" s="11"/>
    </row>
    <row r="595" spans="1:17" s="1" customFormat="1" x14ac:dyDescent="0.25">
      <c r="A595" s="36"/>
      <c r="B595" s="351"/>
      <c r="C595" s="214">
        <f t="shared" ref="C595:H595" si="14">C$589*C594</f>
        <v>6.5552083333333329</v>
      </c>
      <c r="D595" s="214">
        <f t="shared" si="14"/>
        <v>117.34109625000001</v>
      </c>
      <c r="E595" s="214">
        <f t="shared" si="14"/>
        <v>0</v>
      </c>
      <c r="F595" s="214">
        <f t="shared" si="14"/>
        <v>153.30638390624998</v>
      </c>
      <c r="G595" s="214">
        <f t="shared" si="14"/>
        <v>4.4962500000000007</v>
      </c>
      <c r="H595" s="214">
        <f t="shared" si="14"/>
        <v>5.4380981249999998</v>
      </c>
      <c r="I595" s="351"/>
      <c r="J595" s="354"/>
      <c r="Q595" s="11"/>
    </row>
    <row r="596" spans="1:17" s="1" customFormat="1" x14ac:dyDescent="0.25">
      <c r="A596" s="36"/>
      <c r="B596" s="351" t="s">
        <v>350</v>
      </c>
      <c r="C596" s="214">
        <f t="shared" ref="C596:H596" si="15">VLOOKUP(LEFT(C$571,2),$B$561:$D$568,IF($B596="Caso Max",2,3),FALSE)</f>
        <v>0.9</v>
      </c>
      <c r="D596" s="214">
        <f t="shared" si="15"/>
        <v>0.9</v>
      </c>
      <c r="E596" s="214">
        <f t="shared" si="15"/>
        <v>0.65</v>
      </c>
      <c r="F596" s="214">
        <f t="shared" si="15"/>
        <v>1</v>
      </c>
      <c r="G596" s="214">
        <f t="shared" si="15"/>
        <v>0</v>
      </c>
      <c r="H596" s="214">
        <f t="shared" si="15"/>
        <v>0</v>
      </c>
      <c r="I596" s="351">
        <f>SUM(C597:H597)</f>
        <v>202.76562367499997</v>
      </c>
      <c r="J596" s="354"/>
      <c r="Q596" s="11"/>
    </row>
    <row r="597" spans="1:17" s="1" customFormat="1" x14ac:dyDescent="0.25">
      <c r="A597" s="36"/>
      <c r="B597" s="351"/>
      <c r="C597" s="214">
        <f t="shared" ref="C597:H597" si="16">C$589*C596</f>
        <v>4.7197500000000003</v>
      </c>
      <c r="D597" s="214">
        <f t="shared" si="16"/>
        <v>84.485589300000001</v>
      </c>
      <c r="E597" s="214">
        <f t="shared" si="16"/>
        <v>0</v>
      </c>
      <c r="F597" s="214">
        <f t="shared" si="16"/>
        <v>113.56028437499998</v>
      </c>
      <c r="G597" s="214">
        <f t="shared" si="16"/>
        <v>0</v>
      </c>
      <c r="H597" s="214">
        <f t="shared" si="16"/>
        <v>0</v>
      </c>
      <c r="I597" s="351"/>
      <c r="J597" s="354"/>
      <c r="Q597" s="11"/>
    </row>
    <row r="598" spans="1:17" s="1" customFormat="1" x14ac:dyDescent="0.25">
      <c r="A598" s="36"/>
      <c r="B598" s="351" t="s">
        <v>352</v>
      </c>
      <c r="C598" s="214">
        <v>1</v>
      </c>
      <c r="D598" s="214">
        <v>1</v>
      </c>
      <c r="E598" s="214">
        <v>1</v>
      </c>
      <c r="F598" s="214">
        <v>1</v>
      </c>
      <c r="G598" s="214">
        <v>1</v>
      </c>
      <c r="H598" s="214">
        <v>1</v>
      </c>
      <c r="I598" s="351">
        <f>SUM(C599:H599)</f>
        <v>232.54602429166667</v>
      </c>
      <c r="J598" s="352" t="s">
        <v>312</v>
      </c>
      <c r="Q598" s="11"/>
    </row>
    <row r="599" spans="1:17" s="1" customFormat="1" x14ac:dyDescent="0.25">
      <c r="A599" s="36"/>
      <c r="B599" s="351"/>
      <c r="C599" s="214">
        <f t="shared" ref="C599:H599" si="17">C$589*C598</f>
        <v>5.2441666666666666</v>
      </c>
      <c r="D599" s="214">
        <f t="shared" si="17"/>
        <v>93.872877000000003</v>
      </c>
      <c r="E599" s="214">
        <f t="shared" si="17"/>
        <v>0</v>
      </c>
      <c r="F599" s="214">
        <f t="shared" si="17"/>
        <v>113.56028437499998</v>
      </c>
      <c r="G599" s="214">
        <f t="shared" si="17"/>
        <v>8.9925000000000015</v>
      </c>
      <c r="H599" s="214">
        <f t="shared" si="17"/>
        <v>10.87619625</v>
      </c>
      <c r="I599" s="351"/>
      <c r="J599" s="352"/>
      <c r="Q599" s="11"/>
    </row>
    <row r="600" spans="1:17" s="1" customFormat="1" x14ac:dyDescent="0.25">
      <c r="A600" s="36"/>
      <c r="B600" s="27"/>
      <c r="C600" s="37"/>
      <c r="D600" s="10"/>
      <c r="E600" s="10"/>
      <c r="F600" s="10"/>
      <c r="G600" s="45"/>
      <c r="H600" s="45"/>
      <c r="I600" s="18"/>
      <c r="J600" s="10"/>
      <c r="Q600" s="11"/>
    </row>
    <row r="601" spans="1:17" s="1" customFormat="1" x14ac:dyDescent="0.25">
      <c r="A601" s="36"/>
      <c r="B601" s="336" t="s">
        <v>356</v>
      </c>
      <c r="C601" s="336"/>
      <c r="D601" s="336"/>
      <c r="E601" s="336"/>
      <c r="F601" s="336"/>
      <c r="G601" s="336"/>
      <c r="H601" s="336"/>
      <c r="I601" s="336"/>
      <c r="J601" s="336"/>
      <c r="Q601" s="11"/>
    </row>
    <row r="602" spans="1:17" s="1" customFormat="1" x14ac:dyDescent="0.25">
      <c r="A602" s="36"/>
      <c r="B602" s="336"/>
      <c r="C602" s="336"/>
      <c r="D602" s="336"/>
      <c r="E602" s="336"/>
      <c r="F602" s="336"/>
      <c r="G602" s="336"/>
      <c r="H602" s="336"/>
      <c r="I602" s="336"/>
      <c r="J602" s="336"/>
      <c r="Q602" s="11"/>
    </row>
    <row r="603" spans="1:17" s="1" customFormat="1" x14ac:dyDescent="0.25">
      <c r="A603" s="36"/>
      <c r="B603" s="27"/>
      <c r="C603" s="37"/>
      <c r="D603" s="10"/>
      <c r="E603" s="10"/>
      <c r="F603" s="10"/>
      <c r="G603" s="45"/>
      <c r="H603" s="45"/>
      <c r="I603" s="18"/>
      <c r="J603" s="10"/>
      <c r="Q603" s="11"/>
    </row>
    <row r="604" spans="1:17" s="1" customFormat="1" x14ac:dyDescent="0.25">
      <c r="A604" s="36"/>
      <c r="B604" s="27" t="s">
        <v>357</v>
      </c>
      <c r="C604" s="37"/>
      <c r="D604" s="10"/>
      <c r="E604" s="10"/>
      <c r="F604" s="10"/>
      <c r="G604" s="45"/>
      <c r="H604" s="45"/>
      <c r="I604" s="18"/>
      <c r="J604" s="10"/>
      <c r="Q604" s="11"/>
    </row>
    <row r="605" spans="1:17" s="1" customFormat="1" x14ac:dyDescent="0.25">
      <c r="A605" s="36"/>
      <c r="B605" s="207" t="s">
        <v>315</v>
      </c>
      <c r="C605" s="215" t="s">
        <v>188</v>
      </c>
      <c r="D605" s="210" t="s">
        <v>181</v>
      </c>
      <c r="E605" s="210" t="s">
        <v>358</v>
      </c>
      <c r="F605" s="210" t="s">
        <v>359</v>
      </c>
      <c r="G605" s="212" t="s">
        <v>360</v>
      </c>
      <c r="H605" s="353" t="s">
        <v>183</v>
      </c>
      <c r="I605" s="353" t="s">
        <v>346</v>
      </c>
      <c r="J605" s="10"/>
      <c r="Q605" s="11"/>
    </row>
    <row r="606" spans="1:17" s="1" customFormat="1" x14ac:dyDescent="0.25">
      <c r="A606" s="36"/>
      <c r="B606" s="207" t="s">
        <v>361</v>
      </c>
      <c r="C606" s="216">
        <f>$C$554</f>
        <v>29.414999999999999</v>
      </c>
      <c r="D606" s="216">
        <f>$C$552</f>
        <v>17.649000000000001</v>
      </c>
      <c r="E606" s="216">
        <f>$C$549</f>
        <v>0</v>
      </c>
      <c r="F606" s="216">
        <f>$C$555</f>
        <v>36.014544543750006</v>
      </c>
      <c r="G606" s="216">
        <f>$C$556</f>
        <v>1.7682333333333338</v>
      </c>
      <c r="H606" s="353"/>
      <c r="I606" s="353"/>
      <c r="J606" s="10"/>
      <c r="Q606" s="11"/>
    </row>
    <row r="607" spans="1:17" s="1" customFormat="1" x14ac:dyDescent="0.25">
      <c r="A607" s="36"/>
      <c r="B607" s="351" t="s">
        <v>348</v>
      </c>
      <c r="C607" s="214">
        <f>VLOOKUP(LEFT(C$605,2),$B$561:$D$568,IF($B607="Caso Max",2,3),FALSE)</f>
        <v>1.5</v>
      </c>
      <c r="D607" s="214">
        <f>VLOOKUP(LEFT(D$605,2),$B$561:$D$568,IF($B607="Caso Max",2,3),FALSE)</f>
        <v>1.75</v>
      </c>
      <c r="E607" s="214">
        <f>VLOOKUP(LEFT(E$605,2),$B$561:$D$568,IF($B607="Caso Max",2,3),FALSE)</f>
        <v>1.75</v>
      </c>
      <c r="F607" s="214">
        <v>0</v>
      </c>
      <c r="G607" s="214">
        <v>0</v>
      </c>
      <c r="H607" s="351">
        <f>SUM(C608:H608)</f>
        <v>75.008250000000004</v>
      </c>
      <c r="I607" s="352" t="s">
        <v>349</v>
      </c>
      <c r="Q607" s="11"/>
    </row>
    <row r="608" spans="1:17" s="1" customFormat="1" x14ac:dyDescent="0.25">
      <c r="A608" s="36"/>
      <c r="B608" s="351"/>
      <c r="C608" s="214">
        <f>C$606*C607</f>
        <v>44.122500000000002</v>
      </c>
      <c r="D608" s="214">
        <f>D$606*D607</f>
        <v>30.885750000000002</v>
      </c>
      <c r="E608" s="214">
        <f>E$606*E607</f>
        <v>0</v>
      </c>
      <c r="F608" s="214">
        <f>F$606*F607</f>
        <v>0</v>
      </c>
      <c r="G608" s="214">
        <f>G$606*G607</f>
        <v>0</v>
      </c>
      <c r="H608" s="351"/>
      <c r="I608" s="352"/>
      <c r="Q608" s="11"/>
    </row>
    <row r="609" spans="1:17" s="1" customFormat="1" x14ac:dyDescent="0.25">
      <c r="A609" s="36"/>
      <c r="B609" s="351" t="s">
        <v>350</v>
      </c>
      <c r="C609" s="214">
        <f>VLOOKUP(LEFT(C$605,2),$B$561:$D$568,IF($B609="Caso Max",2,3),FALSE)</f>
        <v>0.9</v>
      </c>
      <c r="D609" s="214">
        <v>1.75</v>
      </c>
      <c r="E609" s="214">
        <f>VLOOKUP(LEFT(E$605,2),$B$561:$D$568,IF($B609="Caso Max",2,3),FALSE)</f>
        <v>0</v>
      </c>
      <c r="F609" s="214">
        <v>0</v>
      </c>
      <c r="G609" s="214">
        <v>0</v>
      </c>
      <c r="H609" s="351">
        <f>SUM(C610:H610)</f>
        <v>57.359250000000003</v>
      </c>
      <c r="I609" s="352"/>
      <c r="Q609" s="11"/>
    </row>
    <row r="610" spans="1:17" s="1" customFormat="1" x14ac:dyDescent="0.25">
      <c r="A610" s="36"/>
      <c r="B610" s="351"/>
      <c r="C610" s="214">
        <f>C$606*C609</f>
        <v>26.473500000000001</v>
      </c>
      <c r="D610" s="214">
        <f>D$606*D609</f>
        <v>30.885750000000002</v>
      </c>
      <c r="E610" s="214">
        <f>E$606*E609</f>
        <v>0</v>
      </c>
      <c r="F610" s="214">
        <f>F$606*F609</f>
        <v>0</v>
      </c>
      <c r="G610" s="214">
        <f>G$606*G609</f>
        <v>0</v>
      </c>
      <c r="H610" s="351"/>
      <c r="I610" s="352"/>
      <c r="Q610" s="11"/>
    </row>
    <row r="611" spans="1:17" s="1" customFormat="1" x14ac:dyDescent="0.25">
      <c r="A611" s="36"/>
      <c r="B611" s="351" t="s">
        <v>348</v>
      </c>
      <c r="C611" s="214">
        <f>VLOOKUP(LEFT(C$605,2),$B$561:$D$568,IF($B611="Caso Max",2,3),FALSE)</f>
        <v>1.5</v>
      </c>
      <c r="D611" s="214">
        <v>0.5</v>
      </c>
      <c r="E611" s="214">
        <v>0.5</v>
      </c>
      <c r="F611" s="214">
        <v>1</v>
      </c>
      <c r="G611" s="214">
        <v>1</v>
      </c>
      <c r="H611" s="351">
        <f>SUM(C612:H612)</f>
        <v>90.729777877083336</v>
      </c>
      <c r="I611" s="352" t="s">
        <v>349</v>
      </c>
      <c r="J611" s="10"/>
      <c r="Q611" s="11"/>
    </row>
    <row r="612" spans="1:17" s="1" customFormat="1" x14ac:dyDescent="0.25">
      <c r="A612" s="36"/>
      <c r="B612" s="351"/>
      <c r="C612" s="214">
        <f>C$606*C611</f>
        <v>44.122500000000002</v>
      </c>
      <c r="D612" s="214">
        <f>D$606*D611</f>
        <v>8.8245000000000005</v>
      </c>
      <c r="E612" s="214">
        <f>E$606*E611</f>
        <v>0</v>
      </c>
      <c r="F612" s="214">
        <f>F$606*F611</f>
        <v>36.014544543750006</v>
      </c>
      <c r="G612" s="214">
        <f>G$606*G611</f>
        <v>1.7682333333333338</v>
      </c>
      <c r="H612" s="351"/>
      <c r="I612" s="352"/>
      <c r="J612" s="10"/>
      <c r="Q612" s="11"/>
    </row>
    <row r="613" spans="1:17" s="1" customFormat="1" x14ac:dyDescent="0.25">
      <c r="A613" s="36"/>
      <c r="B613" s="351" t="s">
        <v>350</v>
      </c>
      <c r="C613" s="214">
        <f>VLOOKUP(LEFT(C$605,2),$B$561:$D$568,IF($B613="Caso Max",2,3),FALSE)</f>
        <v>0.9</v>
      </c>
      <c r="D613" s="214">
        <v>0</v>
      </c>
      <c r="E613" s="214">
        <f>VLOOKUP(LEFT(E$605,2),$B$561:$D$568,IF($B613="Caso Max",2,3),FALSE)</f>
        <v>0</v>
      </c>
      <c r="F613" s="214">
        <f>VLOOKUP(LEFT(F$605,2),$B$561:$D$568,IF($B613="Caso Max",2,3),FALSE)</f>
        <v>1</v>
      </c>
      <c r="G613" s="214">
        <f>VLOOKUP(LEFT(G$605,2),$B$561:$D$568,IF($B613="Caso Max",2,3),FALSE)</f>
        <v>1</v>
      </c>
      <c r="H613" s="351">
        <f>SUM(C614:H614)</f>
        <v>64.256277877083335</v>
      </c>
      <c r="I613" s="352"/>
      <c r="J613" s="10"/>
      <c r="Q613" s="11"/>
    </row>
    <row r="614" spans="1:17" s="1" customFormat="1" x14ac:dyDescent="0.25">
      <c r="A614" s="36"/>
      <c r="B614" s="351"/>
      <c r="C614" s="214">
        <f>C$606*C613</f>
        <v>26.473500000000001</v>
      </c>
      <c r="D614" s="214">
        <f>D$606*D613</f>
        <v>0</v>
      </c>
      <c r="E614" s="214">
        <f>E$606*E613</f>
        <v>0</v>
      </c>
      <c r="F614" s="214">
        <f>F$606*F613</f>
        <v>36.014544543750006</v>
      </c>
      <c r="G614" s="214">
        <f>G$606*G613</f>
        <v>1.7682333333333338</v>
      </c>
      <c r="H614" s="351"/>
      <c r="I614" s="352"/>
      <c r="J614" s="10"/>
      <c r="Q614" s="11"/>
    </row>
    <row r="615" spans="1:17" s="1" customFormat="1" x14ac:dyDescent="0.25">
      <c r="A615" s="36"/>
      <c r="B615" s="351" t="s">
        <v>350</v>
      </c>
      <c r="C615" s="214">
        <v>1</v>
      </c>
      <c r="D615" s="214">
        <v>1</v>
      </c>
      <c r="E615" s="214">
        <v>1</v>
      </c>
      <c r="F615" s="214">
        <v>0</v>
      </c>
      <c r="G615" s="214">
        <v>0</v>
      </c>
      <c r="H615" s="351">
        <f>SUM(C616:H616)</f>
        <v>47.064</v>
      </c>
      <c r="I615" s="352" t="s">
        <v>312</v>
      </c>
      <c r="J615" s="10"/>
      <c r="Q615" s="11"/>
    </row>
    <row r="616" spans="1:17" s="1" customFormat="1" x14ac:dyDescent="0.25">
      <c r="A616" s="36"/>
      <c r="B616" s="351"/>
      <c r="C616" s="214">
        <f>C$606*C615</f>
        <v>29.414999999999999</v>
      </c>
      <c r="D616" s="214">
        <f>D$606*D615</f>
        <v>17.649000000000001</v>
      </c>
      <c r="E616" s="214">
        <f>E$606*E615</f>
        <v>0</v>
      </c>
      <c r="F616" s="214">
        <f>F$606*F615</f>
        <v>0</v>
      </c>
      <c r="G616" s="214">
        <f>G$606*G615</f>
        <v>0</v>
      </c>
      <c r="H616" s="351"/>
      <c r="I616" s="352"/>
      <c r="J616" s="10"/>
      <c r="Q616" s="11"/>
    </row>
    <row r="617" spans="1:17" s="1" customFormat="1" x14ac:dyDescent="0.25">
      <c r="A617" s="36"/>
      <c r="B617" s="27"/>
      <c r="C617" s="37"/>
      <c r="D617" s="10"/>
      <c r="E617" s="10"/>
      <c r="F617" s="10"/>
      <c r="G617" s="45"/>
      <c r="H617" s="45"/>
      <c r="I617" s="18"/>
      <c r="J617" s="10"/>
      <c r="Q617" s="11"/>
    </row>
    <row r="618" spans="1:17" s="1" customFormat="1" x14ac:dyDescent="0.25">
      <c r="A618" s="36"/>
      <c r="B618" s="336" t="s">
        <v>362</v>
      </c>
      <c r="C618" s="336"/>
      <c r="D618" s="336"/>
      <c r="E618" s="336"/>
      <c r="F618" s="336"/>
      <c r="G618" s="336"/>
      <c r="H618" s="336"/>
      <c r="I618" s="336"/>
      <c r="J618" s="336"/>
      <c r="Q618" s="11"/>
    </row>
    <row r="619" spans="1:17" s="1" customFormat="1" x14ac:dyDescent="0.25">
      <c r="A619" s="36"/>
      <c r="B619" s="336"/>
      <c r="C619" s="336"/>
      <c r="D619" s="336"/>
      <c r="E619" s="336"/>
      <c r="F619" s="336"/>
      <c r="G619" s="336"/>
      <c r="H619" s="336"/>
      <c r="I619" s="336"/>
      <c r="J619" s="336"/>
      <c r="Q619" s="11"/>
    </row>
    <row r="620" spans="1:17" s="1" customFormat="1" x14ac:dyDescent="0.25">
      <c r="A620" s="36"/>
      <c r="B620" s="27"/>
      <c r="C620" s="37"/>
      <c r="D620" s="10"/>
      <c r="E620" s="10"/>
      <c r="F620" s="10"/>
      <c r="G620" s="45"/>
      <c r="H620" s="45"/>
      <c r="I620" s="18"/>
      <c r="J620" s="10"/>
      <c r="Q620" s="11"/>
    </row>
    <row r="621" spans="1:17" s="1" customFormat="1" x14ac:dyDescent="0.25">
      <c r="A621" s="36"/>
      <c r="B621" s="27" t="s">
        <v>363</v>
      </c>
      <c r="C621" s="37"/>
      <c r="D621" s="10"/>
      <c r="E621" s="10"/>
      <c r="F621" s="10"/>
      <c r="G621" s="45"/>
      <c r="H621" s="45"/>
      <c r="I621" s="18"/>
      <c r="J621" s="10"/>
      <c r="Q621" s="11"/>
    </row>
    <row r="622" spans="1:17" s="1" customFormat="1" x14ac:dyDescent="0.25">
      <c r="A622" s="36"/>
      <c r="B622" s="207" t="s">
        <v>315</v>
      </c>
      <c r="C622" s="215" t="s">
        <v>188</v>
      </c>
      <c r="D622" s="210" t="s">
        <v>181</v>
      </c>
      <c r="E622" s="210" t="s">
        <v>358</v>
      </c>
      <c r="F622" s="210" t="s">
        <v>359</v>
      </c>
      <c r="G622" s="212" t="s">
        <v>360</v>
      </c>
      <c r="H622" s="353" t="s">
        <v>183</v>
      </c>
      <c r="I622" s="353" t="s">
        <v>346</v>
      </c>
      <c r="J622" s="10"/>
      <c r="Q622" s="11"/>
    </row>
    <row r="623" spans="1:17" s="1" customFormat="1" ht="15.6" x14ac:dyDescent="0.25">
      <c r="A623" s="36"/>
      <c r="B623" s="209" t="s">
        <v>570</v>
      </c>
      <c r="C623" s="216">
        <f>$F$554</f>
        <v>29.414999999999999</v>
      </c>
      <c r="D623" s="216">
        <f>$F$552</f>
        <v>26.473500000000001</v>
      </c>
      <c r="E623" s="216">
        <f>$F$549</f>
        <v>0</v>
      </c>
      <c r="F623" s="216">
        <f>$F$555</f>
        <v>43.217453452500017</v>
      </c>
      <c r="G623" s="216">
        <f>$F$556</f>
        <v>2.9175850000000008</v>
      </c>
      <c r="H623" s="353"/>
      <c r="I623" s="353"/>
      <c r="J623" s="10"/>
      <c r="Q623" s="11"/>
    </row>
    <row r="624" spans="1:17" s="1" customFormat="1" x14ac:dyDescent="0.25">
      <c r="A624" s="36"/>
      <c r="B624" s="351" t="s">
        <v>348</v>
      </c>
      <c r="C624" s="214">
        <f>VLOOKUP(LEFT(C$622,2),$B$561:$D$568,IF($B624="Caso Max",2,3),FALSE)</f>
        <v>1.5</v>
      </c>
      <c r="D624" s="214">
        <f>VLOOKUP(LEFT(D$622,2),$B$561:$D$568,IF($B624="Caso Max",2,3),FALSE)</f>
        <v>1.75</v>
      </c>
      <c r="E624" s="214">
        <f>VLOOKUP(LEFT(E$622,2),$B$561:$D$568,IF($B624="Caso Max",2,3),FALSE)</f>
        <v>1.75</v>
      </c>
      <c r="F624" s="214">
        <v>0</v>
      </c>
      <c r="G624" s="214">
        <v>0</v>
      </c>
      <c r="H624" s="351">
        <f>SUM(C625:H625)</f>
        <v>90.451125000000005</v>
      </c>
      <c r="I624" s="352" t="s">
        <v>349</v>
      </c>
      <c r="Q624" s="11"/>
    </row>
    <row r="625" spans="1:17" s="1" customFormat="1" x14ac:dyDescent="0.25">
      <c r="A625" s="36"/>
      <c r="B625" s="351"/>
      <c r="C625" s="214">
        <f>C$623*C624</f>
        <v>44.122500000000002</v>
      </c>
      <c r="D625" s="214">
        <f>D$623*D624</f>
        <v>46.328625000000002</v>
      </c>
      <c r="E625" s="214">
        <f>E$623*E624</f>
        <v>0</v>
      </c>
      <c r="F625" s="214">
        <f>F$623*F624</f>
        <v>0</v>
      </c>
      <c r="G625" s="214">
        <f>G$623*G624</f>
        <v>0</v>
      </c>
      <c r="H625" s="351"/>
      <c r="I625" s="352"/>
      <c r="Q625" s="11"/>
    </row>
    <row r="626" spans="1:17" s="1" customFormat="1" x14ac:dyDescent="0.25">
      <c r="A626" s="36"/>
      <c r="B626" s="351" t="s">
        <v>350</v>
      </c>
      <c r="C626" s="214">
        <f>VLOOKUP(LEFT(C$622,2),$B$561:$D$568,IF($B626="Caso Max",2,3),FALSE)</f>
        <v>0.9</v>
      </c>
      <c r="D626" s="214">
        <v>1.75</v>
      </c>
      <c r="E626" s="214">
        <f>VLOOKUP(LEFT(E$622,2),$B$561:$D$568,IF($B626="Caso Max",2,3),FALSE)</f>
        <v>0</v>
      </c>
      <c r="F626" s="214">
        <v>0</v>
      </c>
      <c r="G626" s="214">
        <v>0</v>
      </c>
      <c r="H626" s="351">
        <f>SUM(C627:H627)</f>
        <v>72.802125000000004</v>
      </c>
      <c r="I626" s="352"/>
      <c r="Q626" s="11"/>
    </row>
    <row r="627" spans="1:17" s="1" customFormat="1" x14ac:dyDescent="0.25">
      <c r="A627" s="36"/>
      <c r="B627" s="351"/>
      <c r="C627" s="214">
        <f>C$623*C626</f>
        <v>26.473500000000001</v>
      </c>
      <c r="D627" s="214">
        <f>D$623*D626</f>
        <v>46.328625000000002</v>
      </c>
      <c r="E627" s="214">
        <f>E$623*E626</f>
        <v>0</v>
      </c>
      <c r="F627" s="214">
        <f>F$623*F626</f>
        <v>0</v>
      </c>
      <c r="G627" s="214">
        <f>G$623*G626</f>
        <v>0</v>
      </c>
      <c r="H627" s="351"/>
      <c r="I627" s="352"/>
      <c r="Q627" s="11"/>
    </row>
    <row r="628" spans="1:17" s="1" customFormat="1" x14ac:dyDescent="0.25">
      <c r="A628" s="36"/>
      <c r="B628" s="351" t="s">
        <v>348</v>
      </c>
      <c r="C628" s="214">
        <f>VLOOKUP(LEFT(C$622,2),$B$561:$D$568,IF($B628="Caso Max",2,3),FALSE)</f>
        <v>1.5</v>
      </c>
      <c r="D628" s="214">
        <v>0.5</v>
      </c>
      <c r="E628" s="214">
        <v>0.5</v>
      </c>
      <c r="F628" s="214">
        <v>1</v>
      </c>
      <c r="G628" s="214">
        <v>1</v>
      </c>
      <c r="H628" s="351">
        <f>SUM(C629:H629)</f>
        <v>103.49428845250003</v>
      </c>
      <c r="I628" s="352" t="s">
        <v>349</v>
      </c>
      <c r="J628" s="10"/>
      <c r="Q628" s="11"/>
    </row>
    <row r="629" spans="1:17" s="1" customFormat="1" x14ac:dyDescent="0.25">
      <c r="A629" s="36"/>
      <c r="B629" s="351"/>
      <c r="C629" s="214">
        <f>C$623*C628</f>
        <v>44.122500000000002</v>
      </c>
      <c r="D629" s="214">
        <f>D$623*D628</f>
        <v>13.236750000000001</v>
      </c>
      <c r="E629" s="214">
        <f>E$623*E628</f>
        <v>0</v>
      </c>
      <c r="F629" s="214">
        <f>F$623*F628</f>
        <v>43.217453452500017</v>
      </c>
      <c r="G629" s="214">
        <f>G$623*G628</f>
        <v>2.9175850000000008</v>
      </c>
      <c r="H629" s="351"/>
      <c r="I629" s="352"/>
      <c r="J629" s="10"/>
      <c r="Q629" s="11"/>
    </row>
    <row r="630" spans="1:17" s="1" customFormat="1" x14ac:dyDescent="0.25">
      <c r="A630" s="36"/>
      <c r="B630" s="351" t="s">
        <v>350</v>
      </c>
      <c r="C630" s="214">
        <f>VLOOKUP(LEFT(C$622,2),$B$561:$D$568,IF($B630="Caso Max",2,3),FALSE)</f>
        <v>0.9</v>
      </c>
      <c r="D630" s="214">
        <f>VLOOKUP(LEFT(D$622,2),$B$561:$D$568,IF($B630="Caso Max",2,3),FALSE)</f>
        <v>0</v>
      </c>
      <c r="E630" s="214">
        <f>VLOOKUP(LEFT(E$622,2),$B$561:$D$568,IF($B630="Caso Max",2,3),FALSE)</f>
        <v>0</v>
      </c>
      <c r="F630" s="214">
        <v>1</v>
      </c>
      <c r="G630" s="214">
        <v>1</v>
      </c>
      <c r="H630" s="351">
        <f>SUM(C631:H631)</f>
        <v>72.608538452500028</v>
      </c>
      <c r="I630" s="352"/>
      <c r="J630" s="10"/>
      <c r="Q630" s="11"/>
    </row>
    <row r="631" spans="1:17" s="1" customFormat="1" x14ac:dyDescent="0.25">
      <c r="A631" s="36"/>
      <c r="B631" s="351"/>
      <c r="C631" s="214">
        <f>C$623*C630</f>
        <v>26.473500000000001</v>
      </c>
      <c r="D631" s="214">
        <f>D$623*D630</f>
        <v>0</v>
      </c>
      <c r="E631" s="214">
        <f>E$623*E630</f>
        <v>0</v>
      </c>
      <c r="F631" s="214">
        <f>F$623*F630</f>
        <v>43.217453452500017</v>
      </c>
      <c r="G631" s="214">
        <f>G$623*G630</f>
        <v>2.9175850000000008</v>
      </c>
      <c r="H631" s="351"/>
      <c r="I631" s="352"/>
      <c r="J631" s="10"/>
      <c r="Q631" s="11"/>
    </row>
    <row r="632" spans="1:17" s="1" customFormat="1" x14ac:dyDescent="0.25">
      <c r="A632" s="36"/>
      <c r="B632" s="351" t="s">
        <v>350</v>
      </c>
      <c r="C632" s="214">
        <v>1</v>
      </c>
      <c r="D632" s="214">
        <v>1</v>
      </c>
      <c r="E632" s="214">
        <v>1</v>
      </c>
      <c r="F632" s="214">
        <v>0</v>
      </c>
      <c r="G632" s="214">
        <v>0</v>
      </c>
      <c r="H632" s="351">
        <f>SUM(C633:H633)</f>
        <v>55.888500000000001</v>
      </c>
      <c r="I632" s="352" t="s">
        <v>312</v>
      </c>
      <c r="J632" s="10"/>
      <c r="Q632" s="11"/>
    </row>
    <row r="633" spans="1:17" s="1" customFormat="1" x14ac:dyDescent="0.25">
      <c r="A633" s="36"/>
      <c r="B633" s="351"/>
      <c r="C633" s="214">
        <f>C$623*C632</f>
        <v>29.414999999999999</v>
      </c>
      <c r="D633" s="214">
        <f>D$623*D632</f>
        <v>26.473500000000001</v>
      </c>
      <c r="E633" s="214">
        <f>E$623*E632</f>
        <v>0</v>
      </c>
      <c r="F633" s="214">
        <f>F$623*F632</f>
        <v>0</v>
      </c>
      <c r="G633" s="214">
        <f>G$623*G632</f>
        <v>0</v>
      </c>
      <c r="H633" s="351"/>
      <c r="I633" s="352"/>
      <c r="J633" s="10"/>
      <c r="Q633" s="11"/>
    </row>
    <row r="634" spans="1:17" s="1" customFormat="1" x14ac:dyDescent="0.25">
      <c r="A634" s="36"/>
      <c r="B634" s="27"/>
      <c r="C634" s="37"/>
      <c r="D634" s="10"/>
      <c r="E634" s="10"/>
      <c r="F634" s="10"/>
      <c r="G634" s="45"/>
      <c r="H634" s="45"/>
      <c r="I634" s="18"/>
      <c r="J634" s="10"/>
      <c r="Q634" s="11"/>
    </row>
    <row r="635" spans="1:17" s="1" customFormat="1" ht="12.75" customHeight="1" x14ac:dyDescent="0.3">
      <c r="A635" s="9">
        <f>A520+1</f>
        <v>11</v>
      </c>
      <c r="B635" s="5" t="s">
        <v>364</v>
      </c>
      <c r="C635" s="10"/>
      <c r="D635" s="10"/>
      <c r="E635" s="10"/>
      <c r="F635" s="10"/>
      <c r="G635" s="10"/>
      <c r="H635" s="10"/>
      <c r="I635" s="10"/>
      <c r="J635" s="10"/>
    </row>
    <row r="636" spans="1:17" s="1" customFormat="1" x14ac:dyDescent="0.25">
      <c r="A636" s="36"/>
      <c r="B636" s="27"/>
      <c r="C636" s="37"/>
      <c r="D636" s="10"/>
      <c r="E636" s="10"/>
      <c r="F636" s="10"/>
      <c r="G636" s="45"/>
      <c r="H636" s="45"/>
      <c r="I636" s="18"/>
      <c r="J636" s="10"/>
      <c r="Q636" s="11"/>
    </row>
    <row r="637" spans="1:17" s="1" customFormat="1" ht="12.75" customHeight="1" x14ac:dyDescent="0.25">
      <c r="A637" s="36"/>
      <c r="B637" s="336" t="s">
        <v>365</v>
      </c>
      <c r="C637" s="336"/>
      <c r="D637" s="336"/>
      <c r="E637" s="336"/>
      <c r="F637" s="336"/>
      <c r="G637" s="336"/>
      <c r="H637" s="336"/>
      <c r="I637" s="336"/>
      <c r="J637" s="336"/>
      <c r="Q637" s="11"/>
    </row>
    <row r="638" spans="1:17" s="1" customFormat="1" x14ac:dyDescent="0.25">
      <c r="A638" s="36"/>
      <c r="B638" s="336"/>
      <c r="C638" s="336"/>
      <c r="D638" s="336"/>
      <c r="E638" s="336"/>
      <c r="F638" s="336"/>
      <c r="G638" s="336"/>
      <c r="H638" s="336"/>
      <c r="I638" s="336"/>
      <c r="J638" s="336"/>
      <c r="Q638" s="11"/>
    </row>
    <row r="639" spans="1:17" s="1" customFormat="1" x14ac:dyDescent="0.25">
      <c r="A639" s="36"/>
      <c r="B639" s="336"/>
      <c r="C639" s="336"/>
      <c r="D639" s="336"/>
      <c r="E639" s="336"/>
      <c r="F639" s="336"/>
      <c r="G639" s="336"/>
      <c r="H639" s="336"/>
      <c r="I639" s="336"/>
      <c r="J639" s="336"/>
      <c r="Q639" s="11"/>
    </row>
    <row r="640" spans="1:17" s="1" customFormat="1" x14ac:dyDescent="0.25">
      <c r="A640" s="36"/>
      <c r="B640" s="336"/>
      <c r="C640" s="336"/>
      <c r="D640" s="336"/>
      <c r="E640" s="336"/>
      <c r="F640" s="336"/>
      <c r="G640" s="336"/>
      <c r="H640" s="336"/>
      <c r="I640" s="336"/>
      <c r="J640" s="336"/>
      <c r="Q640" s="11"/>
    </row>
    <row r="641" spans="1:17" s="1" customFormat="1" x14ac:dyDescent="0.25">
      <c r="A641" s="36"/>
      <c r="B641" s="336"/>
      <c r="C641" s="336"/>
      <c r="D641" s="336"/>
      <c r="E641" s="336"/>
      <c r="F641" s="336"/>
      <c r="G641" s="336"/>
      <c r="H641" s="336"/>
      <c r="I641" s="336"/>
      <c r="J641" s="336"/>
      <c r="Q641" s="11"/>
    </row>
    <row r="642" spans="1:17" s="1" customFormat="1" x14ac:dyDescent="0.25">
      <c r="A642" s="36"/>
      <c r="B642" s="27"/>
      <c r="C642" s="37"/>
      <c r="D642" s="10"/>
      <c r="E642" s="10"/>
      <c r="F642" s="10"/>
      <c r="G642" s="45"/>
      <c r="H642" s="45"/>
      <c r="I642" s="18"/>
      <c r="J642" s="10"/>
      <c r="Q642" s="11"/>
    </row>
    <row r="643" spans="1:17" s="1" customFormat="1" x14ac:dyDescent="0.25">
      <c r="A643" s="36"/>
      <c r="B643" s="336" t="s">
        <v>366</v>
      </c>
      <c r="C643" s="336"/>
      <c r="D643" s="336"/>
      <c r="E643" s="336"/>
      <c r="F643" s="336"/>
      <c r="G643" s="336"/>
      <c r="H643" s="336"/>
      <c r="I643" s="336"/>
      <c r="J643" s="336"/>
      <c r="Q643" s="11"/>
    </row>
    <row r="644" spans="1:17" s="1" customFormat="1" x14ac:dyDescent="0.25">
      <c r="A644" s="36"/>
      <c r="B644" s="336"/>
      <c r="C644" s="336"/>
      <c r="D644" s="336"/>
      <c r="E644" s="336"/>
      <c r="F644" s="336"/>
      <c r="G644" s="336"/>
      <c r="H644" s="336"/>
      <c r="I644" s="336"/>
      <c r="J644" s="336"/>
      <c r="Q644" s="11"/>
    </row>
    <row r="645" spans="1:17" s="1" customFormat="1" x14ac:dyDescent="0.25">
      <c r="A645" s="36"/>
      <c r="B645" s="336"/>
      <c r="C645" s="336"/>
      <c r="D645" s="336"/>
      <c r="E645" s="336"/>
      <c r="F645" s="336"/>
      <c r="G645" s="336"/>
      <c r="H645" s="336"/>
      <c r="I645" s="336"/>
      <c r="J645" s="336"/>
      <c r="Q645" s="11"/>
    </row>
    <row r="646" spans="1:17" s="1" customFormat="1" x14ac:dyDescent="0.25">
      <c r="A646" s="36"/>
      <c r="B646" s="27"/>
      <c r="C646" s="37"/>
      <c r="D646" s="10"/>
      <c r="E646" s="10"/>
      <c r="F646" s="10"/>
      <c r="G646" s="45"/>
      <c r="H646" s="45"/>
      <c r="I646" s="18"/>
      <c r="J646" s="10"/>
      <c r="Q646" s="11"/>
    </row>
    <row r="647" spans="1:17" s="1" customFormat="1" x14ac:dyDescent="0.25">
      <c r="A647" s="56">
        <f>1</f>
        <v>1</v>
      </c>
      <c r="B647" s="27" t="s">
        <v>367</v>
      </c>
      <c r="C647" s="37"/>
      <c r="D647" s="10"/>
      <c r="E647" s="10"/>
      <c r="F647" s="10"/>
      <c r="G647" s="45"/>
      <c r="H647" s="45"/>
      <c r="I647" s="18"/>
      <c r="J647" s="10"/>
      <c r="Q647" s="11"/>
    </row>
    <row r="648" spans="1:17" s="1" customFormat="1" x14ac:dyDescent="0.25">
      <c r="A648" s="36"/>
      <c r="B648" s="27"/>
      <c r="C648" s="37"/>
      <c r="D648" s="10"/>
      <c r="E648" s="10"/>
      <c r="F648" s="10"/>
      <c r="G648" s="45"/>
      <c r="H648" s="45"/>
      <c r="I648" s="18"/>
      <c r="J648" s="10"/>
      <c r="Q648" s="11"/>
    </row>
    <row r="649" spans="1:17" s="1" customFormat="1" x14ac:dyDescent="0.25">
      <c r="A649" s="57">
        <f>1</f>
        <v>1</v>
      </c>
      <c r="B649" s="27" t="s">
        <v>368</v>
      </c>
      <c r="C649" s="37"/>
      <c r="D649" s="10"/>
      <c r="E649" s="10"/>
      <c r="F649" s="10"/>
      <c r="G649" s="45"/>
      <c r="H649" s="45"/>
      <c r="I649" s="18"/>
      <c r="J649" s="10"/>
      <c r="Q649" s="11"/>
    </row>
    <row r="650" spans="1:17" s="1" customFormat="1" x14ac:dyDescent="0.25">
      <c r="A650" s="36"/>
      <c r="B650" s="27"/>
      <c r="C650" s="37"/>
      <c r="D650" s="10"/>
      <c r="E650" s="10"/>
      <c r="F650" s="10"/>
      <c r="G650" s="45"/>
      <c r="H650" s="45"/>
      <c r="I650" s="18"/>
      <c r="J650" s="10"/>
      <c r="Q650" s="11"/>
    </row>
    <row r="651" spans="1:17" s="1" customFormat="1" x14ac:dyDescent="0.25">
      <c r="A651" s="36"/>
      <c r="B651" s="336" t="s">
        <v>369</v>
      </c>
      <c r="C651" s="336"/>
      <c r="D651" s="336"/>
      <c r="E651" s="336"/>
      <c r="F651" s="336"/>
      <c r="G651" s="336"/>
      <c r="H651" s="336"/>
      <c r="I651" s="336"/>
      <c r="J651" s="336"/>
      <c r="Q651" s="11"/>
    </row>
    <row r="652" spans="1:17" s="1" customFormat="1" x14ac:dyDescent="0.25">
      <c r="A652" s="36"/>
      <c r="B652" s="336"/>
      <c r="C652" s="336"/>
      <c r="D652" s="336"/>
      <c r="E652" s="336"/>
      <c r="F652" s="336"/>
      <c r="G652" s="336"/>
      <c r="H652" s="336"/>
      <c r="I652" s="336"/>
      <c r="J652" s="336"/>
      <c r="Q652" s="11"/>
    </row>
    <row r="653" spans="1:17" s="1" customFormat="1" x14ac:dyDescent="0.25">
      <c r="A653" s="36"/>
      <c r="B653" s="27"/>
      <c r="C653" s="37"/>
      <c r="D653" s="10"/>
      <c r="E653" s="10"/>
      <c r="F653" s="10"/>
      <c r="G653" s="45"/>
      <c r="H653" s="45"/>
      <c r="I653" s="18"/>
      <c r="J653" s="10"/>
      <c r="Q653" s="11"/>
    </row>
    <row r="654" spans="1:17" s="1" customFormat="1" x14ac:dyDescent="0.25">
      <c r="A654" s="36"/>
      <c r="B654" s="27" t="s">
        <v>370</v>
      </c>
      <c r="C654" s="37"/>
      <c r="D654" s="10"/>
      <c r="E654" s="10"/>
      <c r="F654" s="10"/>
      <c r="G654" s="45"/>
      <c r="H654" s="45"/>
      <c r="I654" s="18"/>
      <c r="J654" s="10"/>
      <c r="Q654" s="11"/>
    </row>
    <row r="655" spans="1:17" s="1" customFormat="1" x14ac:dyDescent="0.25">
      <c r="A655" s="36"/>
      <c r="B655" s="207" t="s">
        <v>371</v>
      </c>
      <c r="C655" s="215" t="s">
        <v>372</v>
      </c>
      <c r="D655" s="210" t="s">
        <v>373</v>
      </c>
      <c r="E655" s="210" t="s">
        <v>374</v>
      </c>
      <c r="F655" s="210" t="s">
        <v>375</v>
      </c>
      <c r="G655" s="212" t="s">
        <v>3</v>
      </c>
      <c r="H655" s="212" t="s">
        <v>376</v>
      </c>
      <c r="I655" s="217" t="s">
        <v>377</v>
      </c>
      <c r="J655" s="210" t="s">
        <v>378</v>
      </c>
      <c r="Q655" s="11"/>
    </row>
    <row r="656" spans="1:17" s="1" customFormat="1" x14ac:dyDescent="0.25">
      <c r="A656" s="36"/>
      <c r="B656" s="348" t="s">
        <v>379</v>
      </c>
      <c r="C656" s="215" t="s">
        <v>380</v>
      </c>
      <c r="D656" s="210">
        <f>I573</f>
        <v>176.75167291666668</v>
      </c>
      <c r="E656" s="210">
        <f>I590</f>
        <v>311.97290692708333</v>
      </c>
      <c r="F656" s="210">
        <f>H624</f>
        <v>90.451125000000005</v>
      </c>
      <c r="G656" s="218">
        <f>(E656-F656)/D656</f>
        <v>1.2532938346304903</v>
      </c>
      <c r="H656" s="218">
        <f>Ancho_estribo/2-G656</f>
        <v>4.6706165369509778E-2</v>
      </c>
      <c r="I656" s="217">
        <f>Ancho_estribo/3</f>
        <v>0.8666666666666667</v>
      </c>
      <c r="J656" s="210" t="str">
        <f>IF(H656&lt;I656,"Sí","No")</f>
        <v>Sí</v>
      </c>
      <c r="Q656" s="11"/>
    </row>
    <row r="657" spans="1:17" s="1" customFormat="1" x14ac:dyDescent="0.25">
      <c r="A657" s="36"/>
      <c r="B657" s="348"/>
      <c r="C657" s="215" t="s">
        <v>381</v>
      </c>
      <c r="D657" s="210">
        <f>I575</f>
        <v>113.357997</v>
      </c>
      <c r="E657" s="210">
        <f>I592</f>
        <v>202.76562367499997</v>
      </c>
      <c r="F657" s="210">
        <f>H626</f>
        <v>72.802125000000004</v>
      </c>
      <c r="G657" s="218">
        <f>(E657-F657)/D657</f>
        <v>1.1464872537841331</v>
      </c>
      <c r="H657" s="218">
        <f>Ancho_estribo/2-G657</f>
        <v>0.15351274621586697</v>
      </c>
      <c r="I657" s="217">
        <f>Ancho_estribo/3</f>
        <v>0.8666666666666667</v>
      </c>
      <c r="J657" s="210" t="str">
        <f>IF(H657&lt;I657,"Sí","No")</f>
        <v>Sí</v>
      </c>
      <c r="Q657" s="11"/>
    </row>
    <row r="658" spans="1:17" s="1" customFormat="1" x14ac:dyDescent="0.25">
      <c r="A658" s="36"/>
      <c r="B658" s="27"/>
      <c r="C658" s="37"/>
      <c r="D658" s="10"/>
      <c r="E658" s="10"/>
      <c r="F658" s="10"/>
      <c r="G658" s="45"/>
      <c r="H658" s="45"/>
      <c r="I658" s="18"/>
      <c r="J658" s="10"/>
      <c r="Q658" s="11"/>
    </row>
    <row r="659" spans="1:17" s="1" customFormat="1" x14ac:dyDescent="0.25">
      <c r="A659" s="36"/>
      <c r="B659" s="336" t="s">
        <v>382</v>
      </c>
      <c r="C659" s="336"/>
      <c r="D659" s="336"/>
      <c r="E659" s="336"/>
      <c r="F659" s="336"/>
      <c r="G659" s="336"/>
      <c r="H659" s="336"/>
      <c r="I659" s="336"/>
      <c r="J659" s="336"/>
      <c r="Q659" s="11"/>
    </row>
    <row r="660" spans="1:17" s="1" customFormat="1" x14ac:dyDescent="0.25">
      <c r="A660" s="36"/>
      <c r="B660" s="336"/>
      <c r="C660" s="336"/>
      <c r="D660" s="336"/>
      <c r="E660" s="336"/>
      <c r="F660" s="336"/>
      <c r="G660" s="336"/>
      <c r="H660" s="336"/>
      <c r="I660" s="336"/>
      <c r="J660" s="336"/>
      <c r="Q660" s="11"/>
    </row>
    <row r="661" spans="1:17" s="1" customFormat="1" x14ac:dyDescent="0.25">
      <c r="A661" s="36"/>
      <c r="B661" s="336"/>
      <c r="C661" s="336"/>
      <c r="D661" s="336"/>
      <c r="E661" s="336"/>
      <c r="F661" s="336"/>
      <c r="G661" s="336"/>
      <c r="H661" s="336"/>
      <c r="I661" s="336"/>
      <c r="J661" s="336"/>
      <c r="Q661" s="11"/>
    </row>
    <row r="662" spans="1:17" s="1" customFormat="1" x14ac:dyDescent="0.25">
      <c r="A662" s="36"/>
      <c r="B662" s="27"/>
      <c r="C662" s="37"/>
      <c r="D662" s="10"/>
      <c r="E662" s="10"/>
      <c r="F662" s="10"/>
      <c r="G662" s="45"/>
      <c r="H662" s="45"/>
      <c r="I662" s="18"/>
      <c r="J662" s="10"/>
      <c r="Q662" s="11"/>
    </row>
    <row r="663" spans="1:17" s="1" customFormat="1" x14ac:dyDescent="0.25">
      <c r="A663" s="56">
        <f>A647+1</f>
        <v>2</v>
      </c>
      <c r="B663" s="27" t="s">
        <v>383</v>
      </c>
      <c r="C663" s="37"/>
      <c r="D663" s="10"/>
      <c r="E663" s="10"/>
      <c r="F663" s="10"/>
      <c r="G663" s="45"/>
      <c r="H663" s="45"/>
      <c r="I663" s="18"/>
      <c r="J663" s="10"/>
      <c r="Q663" s="11"/>
    </row>
    <row r="664" spans="1:17" s="1" customFormat="1" x14ac:dyDescent="0.25">
      <c r="A664" s="36"/>
      <c r="B664" s="27"/>
      <c r="C664" s="37"/>
      <c r="D664" s="10"/>
      <c r="E664" s="10"/>
      <c r="F664" s="10"/>
      <c r="G664" s="45"/>
      <c r="H664" s="45"/>
      <c r="I664" s="18"/>
      <c r="J664" s="10"/>
      <c r="Q664" s="11"/>
    </row>
    <row r="665" spans="1:17" s="1" customFormat="1" ht="15.75" customHeight="1" x14ac:dyDescent="0.25">
      <c r="A665" s="36"/>
      <c r="B665" s="336" t="s">
        <v>384</v>
      </c>
      <c r="C665" s="336"/>
      <c r="D665" s="336"/>
      <c r="E665" s="336"/>
      <c r="F665" s="336"/>
      <c r="G665" s="336"/>
      <c r="H665" s="336"/>
      <c r="I665" s="336"/>
      <c r="J665" s="336"/>
      <c r="Q665" s="11"/>
    </row>
    <row r="666" spans="1:17" s="1" customFormat="1" x14ac:dyDescent="0.25">
      <c r="A666" s="36"/>
      <c r="B666" s="336"/>
      <c r="C666" s="336"/>
      <c r="D666" s="336"/>
      <c r="E666" s="336"/>
      <c r="F666" s="336"/>
      <c r="G666" s="336"/>
      <c r="H666" s="336"/>
      <c r="I666" s="336"/>
      <c r="J666" s="336"/>
      <c r="Q666" s="11"/>
    </row>
    <row r="667" spans="1:17" s="1" customFormat="1" x14ac:dyDescent="0.25">
      <c r="A667" s="36"/>
      <c r="B667" s="336"/>
      <c r="C667" s="336"/>
      <c r="D667" s="336"/>
      <c r="E667" s="336"/>
      <c r="F667" s="336"/>
      <c r="G667" s="336"/>
      <c r="H667" s="336"/>
      <c r="I667" s="336"/>
      <c r="J667" s="336"/>
      <c r="Q667" s="11"/>
    </row>
    <row r="668" spans="1:17" s="1" customFormat="1" x14ac:dyDescent="0.25">
      <c r="A668" s="36"/>
      <c r="B668" s="336"/>
      <c r="C668" s="336"/>
      <c r="D668" s="336"/>
      <c r="E668" s="336"/>
      <c r="F668" s="336"/>
      <c r="G668" s="336"/>
      <c r="H668" s="336"/>
      <c r="I668" s="336"/>
      <c r="J668" s="336"/>
      <c r="Q668" s="11"/>
    </row>
    <row r="669" spans="1:17" s="1" customFormat="1" x14ac:dyDescent="0.25">
      <c r="A669" s="36"/>
      <c r="B669" s="336"/>
      <c r="C669" s="336"/>
      <c r="D669" s="336"/>
      <c r="E669" s="336"/>
      <c r="F669" s="336"/>
      <c r="G669" s="336"/>
      <c r="H669" s="336"/>
      <c r="I669" s="336"/>
      <c r="J669" s="336"/>
      <c r="Q669" s="11"/>
    </row>
    <row r="670" spans="1:17" s="1" customFormat="1" x14ac:dyDescent="0.25">
      <c r="A670" s="36"/>
      <c r="B670" s="27"/>
      <c r="C670" s="37"/>
      <c r="D670" s="10"/>
      <c r="E670" s="10"/>
      <c r="F670" s="10"/>
      <c r="G670" s="45"/>
      <c r="H670" s="45"/>
      <c r="I670" s="18"/>
      <c r="J670" s="10"/>
      <c r="Q670" s="11"/>
    </row>
    <row r="671" spans="1:17" s="1" customFormat="1" x14ac:dyDescent="0.25">
      <c r="A671" s="36"/>
      <c r="B671" s="27" t="s">
        <v>370</v>
      </c>
      <c r="C671" s="37"/>
      <c r="D671" s="10"/>
      <c r="E671" s="10"/>
      <c r="F671" s="10"/>
      <c r="G671" s="45"/>
      <c r="H671" s="45"/>
      <c r="I671" s="18"/>
      <c r="J671" s="10"/>
      <c r="Q671" s="11"/>
    </row>
    <row r="672" spans="1:17" s="1" customFormat="1" x14ac:dyDescent="0.25">
      <c r="A672" s="36"/>
      <c r="B672" s="207" t="s">
        <v>371</v>
      </c>
      <c r="C672" s="215" t="s">
        <v>372</v>
      </c>
      <c r="D672" s="210" t="s">
        <v>373</v>
      </c>
      <c r="E672" s="210" t="s">
        <v>374</v>
      </c>
      <c r="F672" s="210" t="s">
        <v>375</v>
      </c>
      <c r="G672" s="212" t="s">
        <v>3</v>
      </c>
      <c r="H672" s="212" t="s">
        <v>376</v>
      </c>
      <c r="I672" s="217" t="s">
        <v>377</v>
      </c>
      <c r="J672" s="210" t="s">
        <v>378</v>
      </c>
      <c r="Q672" s="11"/>
    </row>
    <row r="673" spans="1:17" s="1" customFormat="1" x14ac:dyDescent="0.25">
      <c r="A673" s="36"/>
      <c r="B673" s="348" t="s">
        <v>385</v>
      </c>
      <c r="C673" s="215" t="s">
        <v>380</v>
      </c>
      <c r="D673" s="210">
        <f>I577</f>
        <v>161.50848541666667</v>
      </c>
      <c r="E673" s="210">
        <f>I594</f>
        <v>287.13703661458334</v>
      </c>
      <c r="F673" s="210">
        <f>H628</f>
        <v>103.49428845250003</v>
      </c>
      <c r="G673" s="218">
        <f>(E673-F673)/D673</f>
        <v>1.1370470578577572</v>
      </c>
      <c r="H673" s="218">
        <f>Ancho_estribo/2-G673</f>
        <v>0.16295294214224287</v>
      </c>
      <c r="I673" s="217">
        <f>11/30*Ancho_estribo</f>
        <v>0.95333333333333325</v>
      </c>
      <c r="J673" s="210" t="str">
        <f>IF(H673&lt;I673,"Sí","No")</f>
        <v>Sí</v>
      </c>
      <c r="Q673" s="11"/>
    </row>
    <row r="674" spans="1:17" s="1" customFormat="1" x14ac:dyDescent="0.25">
      <c r="A674" s="36"/>
      <c r="B674" s="348"/>
      <c r="C674" s="215" t="s">
        <v>381</v>
      </c>
      <c r="D674" s="210">
        <f>I579</f>
        <v>113.357997</v>
      </c>
      <c r="E674" s="210">
        <f>I596</f>
        <v>202.76562367499997</v>
      </c>
      <c r="F674" s="210">
        <f>H630</f>
        <v>72.608538452500028</v>
      </c>
      <c r="G674" s="218">
        <f>(E674-F674)/D674</f>
        <v>1.1481949987392592</v>
      </c>
      <c r="H674" s="218">
        <f>Ancho_estribo/2-G674</f>
        <v>0.15180500126074081</v>
      </c>
      <c r="I674" s="217">
        <f>11/30*Ancho_estribo</f>
        <v>0.95333333333333325</v>
      </c>
      <c r="J674" s="210" t="str">
        <f>IF(H674&lt;I674,"Sí","No")</f>
        <v>Sí</v>
      </c>
      <c r="Q674" s="11"/>
    </row>
    <row r="675" spans="1:17" s="1" customFormat="1" x14ac:dyDescent="0.25">
      <c r="A675" s="36"/>
      <c r="B675" s="27"/>
      <c r="C675" s="37"/>
      <c r="D675" s="10"/>
      <c r="E675" s="10"/>
      <c r="F675" s="10"/>
      <c r="G675" s="45"/>
      <c r="H675" s="45"/>
      <c r="I675" s="18"/>
      <c r="J675" s="10"/>
      <c r="Q675" s="11"/>
    </row>
    <row r="676" spans="1:17" s="1" customFormat="1" x14ac:dyDescent="0.25">
      <c r="A676" s="56">
        <f>A663+1</f>
        <v>3</v>
      </c>
      <c r="B676" s="27" t="s">
        <v>386</v>
      </c>
      <c r="C676" s="37"/>
      <c r="D676" s="10"/>
      <c r="E676" s="10"/>
      <c r="F676" s="10"/>
      <c r="G676" s="45"/>
      <c r="H676" s="45"/>
      <c r="I676" s="18"/>
      <c r="J676" s="10"/>
      <c r="Q676" s="11"/>
    </row>
    <row r="677" spans="1:17" s="1" customFormat="1" x14ac:dyDescent="0.25">
      <c r="A677" s="36"/>
      <c r="B677" s="27"/>
      <c r="C677" s="37"/>
      <c r="D677" s="10"/>
      <c r="E677" s="10"/>
      <c r="F677" s="10"/>
      <c r="G677" s="45"/>
      <c r="H677" s="45"/>
      <c r="I677" s="18"/>
      <c r="J677" s="10"/>
      <c r="Q677" s="11"/>
    </row>
    <row r="678" spans="1:17" s="1" customFormat="1" x14ac:dyDescent="0.25">
      <c r="A678" s="36"/>
      <c r="B678" s="336" t="s">
        <v>387</v>
      </c>
      <c r="C678" s="336"/>
      <c r="D678" s="336"/>
      <c r="E678" s="336"/>
      <c r="F678" s="336"/>
      <c r="G678" s="336"/>
      <c r="H678" s="336"/>
      <c r="I678" s="336"/>
      <c r="J678" s="336"/>
      <c r="Q678" s="11"/>
    </row>
    <row r="679" spans="1:17" s="1" customFormat="1" x14ac:dyDescent="0.25">
      <c r="A679" s="36"/>
      <c r="B679" s="336"/>
      <c r="C679" s="336"/>
      <c r="D679" s="336"/>
      <c r="E679" s="336"/>
      <c r="F679" s="336"/>
      <c r="G679" s="336"/>
      <c r="H679" s="336"/>
      <c r="I679" s="336"/>
      <c r="J679" s="336"/>
      <c r="Q679" s="11"/>
    </row>
    <row r="680" spans="1:17" s="1" customFormat="1" x14ac:dyDescent="0.25">
      <c r="A680" s="36"/>
      <c r="B680" s="27"/>
      <c r="C680" s="37"/>
      <c r="D680" s="10"/>
      <c r="E680" s="10"/>
      <c r="F680" s="10"/>
      <c r="G680" s="45"/>
      <c r="H680" s="45"/>
      <c r="I680" s="18"/>
      <c r="J680" s="10"/>
      <c r="Q680" s="11"/>
    </row>
    <row r="681" spans="1:17" s="1" customFormat="1" x14ac:dyDescent="0.25">
      <c r="A681" s="36"/>
      <c r="B681" s="336" t="s">
        <v>388</v>
      </c>
      <c r="C681" s="336"/>
      <c r="D681" s="336"/>
      <c r="E681" s="336"/>
      <c r="F681" s="336"/>
      <c r="G681" s="336"/>
      <c r="H681" s="336"/>
      <c r="I681" s="336"/>
      <c r="J681" s="336"/>
      <c r="Q681" s="11"/>
    </row>
    <row r="682" spans="1:17" s="1" customFormat="1" x14ac:dyDescent="0.25">
      <c r="A682" s="36"/>
      <c r="B682" s="336"/>
      <c r="C682" s="336"/>
      <c r="D682" s="336"/>
      <c r="E682" s="336"/>
      <c r="F682" s="336"/>
      <c r="G682" s="336"/>
      <c r="H682" s="336"/>
      <c r="I682" s="336"/>
      <c r="J682" s="336"/>
      <c r="Q682" s="11"/>
    </row>
    <row r="683" spans="1:17" s="1" customFormat="1" x14ac:dyDescent="0.25">
      <c r="A683" s="36"/>
      <c r="B683" s="27"/>
      <c r="C683" s="37"/>
      <c r="D683" s="10"/>
      <c r="E683" s="10"/>
      <c r="F683" s="10"/>
      <c r="G683" s="45"/>
      <c r="H683" s="45"/>
      <c r="I683" s="18"/>
      <c r="J683" s="10"/>
      <c r="Q683" s="11"/>
    </row>
    <row r="684" spans="1:17" s="1" customFormat="1" ht="15.6" x14ac:dyDescent="0.35">
      <c r="A684" s="36"/>
      <c r="B684" s="27" t="s">
        <v>389</v>
      </c>
      <c r="C684" s="37"/>
      <c r="D684" s="10"/>
      <c r="E684" s="10"/>
      <c r="F684" s="10"/>
      <c r="G684" s="45"/>
      <c r="H684" s="45"/>
      <c r="I684" s="18"/>
      <c r="J684" s="10"/>
      <c r="Q684" s="11"/>
    </row>
    <row r="685" spans="1:17" s="1" customFormat="1" x14ac:dyDescent="0.25">
      <c r="A685" s="36"/>
      <c r="B685" s="27"/>
      <c r="C685" s="37"/>
      <c r="D685" s="10"/>
      <c r="E685" s="10"/>
      <c r="F685" s="10"/>
      <c r="G685" s="45"/>
      <c r="H685" s="45"/>
      <c r="I685" s="18"/>
      <c r="J685" s="10"/>
      <c r="Q685" s="11"/>
    </row>
    <row r="686" spans="1:17" s="1" customFormat="1" ht="15" x14ac:dyDescent="0.35">
      <c r="A686" s="36" t="s">
        <v>12</v>
      </c>
      <c r="B686" s="43" t="s">
        <v>390</v>
      </c>
      <c r="C686" s="43" t="s">
        <v>391</v>
      </c>
      <c r="D686" s="10"/>
      <c r="E686" s="10"/>
      <c r="F686" s="10"/>
      <c r="G686" s="37" t="s">
        <v>27</v>
      </c>
      <c r="H686" s="48"/>
      <c r="I686" s="18"/>
      <c r="J686" s="10"/>
      <c r="Q686" s="11"/>
    </row>
    <row r="687" spans="1:17" s="1" customFormat="1" ht="15" x14ac:dyDescent="0.35">
      <c r="A687" s="36" t="s">
        <v>12</v>
      </c>
      <c r="B687" s="43" t="s">
        <v>392</v>
      </c>
      <c r="C687" s="18" t="s">
        <v>393</v>
      </c>
      <c r="D687" s="10"/>
      <c r="E687" s="10"/>
      <c r="F687" s="10"/>
      <c r="G687" s="37" t="s">
        <v>29</v>
      </c>
      <c r="H687" s="48"/>
      <c r="I687" s="18"/>
      <c r="J687" s="10"/>
      <c r="Q687" s="11"/>
    </row>
    <row r="688" spans="1:17" s="1" customFormat="1" ht="15" x14ac:dyDescent="0.35">
      <c r="A688" s="36" t="s">
        <v>12</v>
      </c>
      <c r="B688" s="43" t="s">
        <v>394</v>
      </c>
      <c r="C688" s="18" t="s">
        <v>395</v>
      </c>
      <c r="D688" s="10"/>
      <c r="E688" s="10"/>
      <c r="F688" s="10"/>
      <c r="G688" s="37"/>
      <c r="H688" s="48"/>
      <c r="I688" s="18"/>
      <c r="J688" s="10"/>
      <c r="Q688" s="11"/>
    </row>
    <row r="689" spans="1:17" s="1" customFormat="1" x14ac:dyDescent="0.25">
      <c r="A689" s="36"/>
      <c r="B689" s="27"/>
      <c r="C689" s="37"/>
      <c r="D689" s="10"/>
      <c r="E689" s="10"/>
      <c r="F689" s="10"/>
      <c r="G689" s="45"/>
      <c r="H689" s="45"/>
      <c r="I689" s="18"/>
      <c r="J689" s="10"/>
      <c r="Q689" s="11"/>
    </row>
    <row r="690" spans="1:17" s="1" customFormat="1" ht="12.75" customHeight="1" x14ac:dyDescent="0.25">
      <c r="A690" s="36"/>
      <c r="B690" s="336" t="s">
        <v>396</v>
      </c>
      <c r="C690" s="336"/>
      <c r="D690" s="336"/>
      <c r="E690" s="336"/>
      <c r="F690" s="336"/>
      <c r="G690" s="336"/>
      <c r="H690" s="336"/>
      <c r="I690" s="336"/>
      <c r="J690" s="336"/>
      <c r="Q690" s="11"/>
    </row>
    <row r="691" spans="1:17" s="1" customFormat="1" x14ac:dyDescent="0.25">
      <c r="A691" s="36"/>
      <c r="B691" s="336"/>
      <c r="C691" s="336"/>
      <c r="D691" s="336"/>
      <c r="E691" s="336"/>
      <c r="F691" s="336"/>
      <c r="G691" s="336"/>
      <c r="H691" s="336"/>
      <c r="I691" s="336"/>
      <c r="J691" s="336"/>
      <c r="Q691" s="11"/>
    </row>
    <row r="692" spans="1:17" s="1" customFormat="1" x14ac:dyDescent="0.25">
      <c r="A692" s="36"/>
      <c r="B692" s="336"/>
      <c r="C692" s="336"/>
      <c r="D692" s="336"/>
      <c r="E692" s="336"/>
      <c r="F692" s="336"/>
      <c r="G692" s="336"/>
      <c r="H692" s="336"/>
      <c r="I692" s="336"/>
      <c r="J692" s="336"/>
      <c r="Q692" s="11"/>
    </row>
    <row r="693" spans="1:17" s="1" customFormat="1" x14ac:dyDescent="0.25">
      <c r="A693" s="36"/>
      <c r="B693" s="27"/>
      <c r="C693" s="37"/>
      <c r="D693" s="10"/>
      <c r="E693" s="10"/>
      <c r="F693" s="10"/>
      <c r="G693" s="45"/>
      <c r="H693" s="45"/>
      <c r="I693" s="18"/>
      <c r="J693" s="10"/>
      <c r="Q693" s="11"/>
    </row>
    <row r="694" spans="1:17" s="1" customFormat="1" x14ac:dyDescent="0.25">
      <c r="A694" s="58">
        <f>1</f>
        <v>1</v>
      </c>
      <c r="B694" s="27" t="s">
        <v>397</v>
      </c>
      <c r="C694" s="37"/>
      <c r="D694" s="10"/>
      <c r="E694" s="10"/>
      <c r="F694" s="10"/>
      <c r="G694" s="45"/>
      <c r="H694" s="45"/>
      <c r="I694" s="18"/>
      <c r="J694" s="10"/>
      <c r="Q694" s="11"/>
    </row>
    <row r="695" spans="1:17" s="1" customFormat="1" x14ac:dyDescent="0.25">
      <c r="A695" s="36"/>
      <c r="B695" s="27"/>
      <c r="C695" s="37"/>
      <c r="D695" s="10"/>
      <c r="E695" s="10"/>
      <c r="F695" s="10"/>
      <c r="G695" s="45"/>
      <c r="H695" s="45"/>
      <c r="I695" s="18"/>
      <c r="J695" s="10"/>
      <c r="Q695" s="11"/>
    </row>
    <row r="696" spans="1:17" s="1" customFormat="1" x14ac:dyDescent="0.25">
      <c r="A696" s="36"/>
      <c r="B696" s="336" t="s">
        <v>398</v>
      </c>
      <c r="C696" s="336"/>
      <c r="D696" s="336"/>
      <c r="E696" s="336"/>
      <c r="F696" s="336"/>
      <c r="G696" s="336"/>
      <c r="H696" s="336"/>
      <c r="I696" s="336"/>
      <c r="J696" s="336"/>
      <c r="Q696" s="11"/>
    </row>
    <row r="697" spans="1:17" s="1" customFormat="1" x14ac:dyDescent="0.25">
      <c r="A697" s="36"/>
      <c r="B697" s="336"/>
      <c r="C697" s="336"/>
      <c r="D697" s="336"/>
      <c r="E697" s="336"/>
      <c r="F697" s="336"/>
      <c r="G697" s="336"/>
      <c r="H697" s="336"/>
      <c r="I697" s="336"/>
      <c r="J697" s="336"/>
      <c r="Q697" s="11"/>
    </row>
    <row r="698" spans="1:17" s="37" customFormat="1" x14ac:dyDescent="0.25">
      <c r="A698" s="36"/>
      <c r="B698" s="59"/>
      <c r="C698" s="59"/>
      <c r="D698" s="59"/>
      <c r="E698" s="59"/>
      <c r="F698" s="59"/>
      <c r="G698" s="59"/>
      <c r="H698" s="59"/>
      <c r="I698" s="59"/>
      <c r="J698" s="59"/>
      <c r="Q698" s="11"/>
    </row>
    <row r="699" spans="1:17" s="37" customFormat="1" ht="15.75" customHeight="1" x14ac:dyDescent="0.25">
      <c r="A699" s="36"/>
      <c r="B699" s="336" t="s">
        <v>399</v>
      </c>
      <c r="C699" s="336"/>
      <c r="D699" s="336"/>
      <c r="E699" s="336"/>
      <c r="F699" s="336"/>
      <c r="G699" s="336"/>
      <c r="H699" s="336"/>
      <c r="I699" s="336"/>
      <c r="J699" s="336"/>
      <c r="Q699" s="11"/>
    </row>
    <row r="700" spans="1:17" s="37" customFormat="1" x14ac:dyDescent="0.25">
      <c r="A700" s="36"/>
      <c r="B700" s="336"/>
      <c r="C700" s="336"/>
      <c r="D700" s="336"/>
      <c r="E700" s="336"/>
      <c r="F700" s="336"/>
      <c r="G700" s="336"/>
      <c r="H700" s="336"/>
      <c r="I700" s="336"/>
      <c r="J700" s="336"/>
      <c r="Q700" s="11"/>
    </row>
    <row r="701" spans="1:17" s="37" customFormat="1" x14ac:dyDescent="0.25">
      <c r="A701" s="36"/>
      <c r="B701" s="59"/>
      <c r="C701" s="59"/>
      <c r="D701" s="59"/>
      <c r="E701" s="59"/>
      <c r="F701" s="59"/>
      <c r="G701" s="59"/>
      <c r="H701" s="59"/>
      <c r="I701" s="59"/>
      <c r="J701" s="59"/>
      <c r="Q701" s="11"/>
    </row>
    <row r="702" spans="1:17" s="1" customFormat="1" ht="15" x14ac:dyDescent="0.35">
      <c r="A702" s="36" t="s">
        <v>12</v>
      </c>
      <c r="B702" s="43" t="s">
        <v>392</v>
      </c>
      <c r="C702" s="18"/>
      <c r="D702" s="10"/>
      <c r="E702" s="10"/>
      <c r="F702" s="10"/>
      <c r="G702" s="37">
        <f>φb</f>
        <v>0.45</v>
      </c>
      <c r="H702" s="48"/>
      <c r="I702" s="18"/>
      <c r="J702" s="10"/>
      <c r="Q702" s="11"/>
    </row>
    <row r="703" spans="1:17" s="37" customFormat="1" x14ac:dyDescent="0.25">
      <c r="A703" s="36"/>
      <c r="B703" s="59"/>
      <c r="C703" s="59"/>
      <c r="D703" s="59"/>
      <c r="E703" s="59"/>
      <c r="F703" s="59"/>
      <c r="G703" s="59"/>
      <c r="H703" s="59"/>
      <c r="I703" s="59"/>
      <c r="J703" s="59"/>
      <c r="Q703" s="11"/>
    </row>
    <row r="704" spans="1:17" s="37" customFormat="1" x14ac:dyDescent="0.25">
      <c r="A704" s="36"/>
      <c r="B704" s="59" t="s">
        <v>400</v>
      </c>
      <c r="C704" s="59"/>
      <c r="D704" s="59"/>
      <c r="E704" s="59"/>
      <c r="F704" s="59"/>
      <c r="G704" s="59"/>
      <c r="H704" s="59"/>
      <c r="I704" s="59"/>
      <c r="J704" s="59"/>
      <c r="Q704" s="11"/>
    </row>
    <row r="705" spans="1:17" s="37" customFormat="1" x14ac:dyDescent="0.25">
      <c r="A705" s="36"/>
      <c r="B705" s="59"/>
      <c r="C705" s="59"/>
      <c r="D705" s="59"/>
      <c r="E705" s="59"/>
      <c r="F705" s="59"/>
      <c r="G705" s="59"/>
      <c r="H705" s="59"/>
      <c r="I705" s="59"/>
      <c r="J705" s="59"/>
      <c r="Q705" s="11"/>
    </row>
    <row r="706" spans="1:17" s="1" customFormat="1" ht="15" x14ac:dyDescent="0.35">
      <c r="A706" s="36" t="s">
        <v>12</v>
      </c>
      <c r="B706" s="43" t="s">
        <v>390</v>
      </c>
      <c r="C706" s="43"/>
      <c r="D706" s="10"/>
      <c r="E706" s="10"/>
      <c r="F706" s="10"/>
      <c r="G706" s="60">
        <f>G702*qn</f>
        <v>0.45</v>
      </c>
      <c r="H706" s="48"/>
      <c r="I706" s="18"/>
      <c r="J706" s="10"/>
      <c r="Q706" s="11"/>
    </row>
    <row r="707" spans="1:17" s="37" customFormat="1" x14ac:dyDescent="0.25">
      <c r="A707" s="36"/>
      <c r="B707" s="59"/>
      <c r="C707" s="59"/>
      <c r="D707" s="59"/>
      <c r="E707" s="59"/>
      <c r="F707" s="59"/>
      <c r="G707" s="59"/>
      <c r="H707" s="59"/>
      <c r="I707" s="59"/>
      <c r="J707" s="59"/>
      <c r="Q707" s="11"/>
    </row>
    <row r="708" spans="1:17" s="1" customFormat="1" x14ac:dyDescent="0.25">
      <c r="A708" s="27" t="s">
        <v>401</v>
      </c>
      <c r="B708" s="37"/>
      <c r="C708" s="10"/>
      <c r="D708" s="10"/>
      <c r="E708" s="10"/>
      <c r="F708" s="45"/>
      <c r="G708" s="45"/>
      <c r="H708" s="18"/>
      <c r="I708" s="10"/>
      <c r="Q708" s="11"/>
    </row>
    <row r="709" spans="1:17" s="1" customFormat="1" ht="15.6" x14ac:dyDescent="0.25">
      <c r="A709" s="207" t="s">
        <v>371</v>
      </c>
      <c r="B709" s="215" t="s">
        <v>372</v>
      </c>
      <c r="C709" s="210" t="s">
        <v>373</v>
      </c>
      <c r="D709" s="210" t="s">
        <v>374</v>
      </c>
      <c r="E709" s="210" t="s">
        <v>375</v>
      </c>
      <c r="F709" s="212" t="s">
        <v>3</v>
      </c>
      <c r="G709" s="212" t="s">
        <v>376</v>
      </c>
      <c r="H709" s="219" t="s">
        <v>402</v>
      </c>
      <c r="I709" s="209" t="s">
        <v>403</v>
      </c>
      <c r="J709" s="210" t="s">
        <v>378</v>
      </c>
      <c r="Q709" s="11"/>
    </row>
    <row r="710" spans="1:17" s="1" customFormat="1" x14ac:dyDescent="0.3">
      <c r="A710" s="348" t="s">
        <v>379</v>
      </c>
      <c r="B710" s="215" t="s">
        <v>380</v>
      </c>
      <c r="C710" s="210">
        <f>I573</f>
        <v>176.75167291666668</v>
      </c>
      <c r="D710" s="210">
        <f>I590</f>
        <v>311.97290692708333</v>
      </c>
      <c r="E710" s="210">
        <f>H624</f>
        <v>90.451125000000005</v>
      </c>
      <c r="F710" s="218">
        <f>(D710-E710)/C710</f>
        <v>1.2532938346304903</v>
      </c>
      <c r="G710" s="218">
        <f>Ancho_estribo/2-F710</f>
        <v>4.6706165369509778E-2</v>
      </c>
      <c r="H710" s="217">
        <f>C710/(Ancho_estribo-2*G710)</f>
        <v>70.514857742349989</v>
      </c>
      <c r="I710" s="209">
        <f>G706*1000</f>
        <v>450</v>
      </c>
      <c r="J710" s="210" t="str">
        <f>IF(H710&lt;I710,"Sí","No")</f>
        <v>Sí</v>
      </c>
      <c r="Q710" s="11"/>
    </row>
    <row r="711" spans="1:17" s="1" customFormat="1" x14ac:dyDescent="0.3">
      <c r="A711" s="348"/>
      <c r="B711" s="215" t="s">
        <v>381</v>
      </c>
      <c r="C711" s="210">
        <f>I575</f>
        <v>113.357997</v>
      </c>
      <c r="D711" s="210">
        <f>I592</f>
        <v>202.76562367499997</v>
      </c>
      <c r="E711" s="210">
        <f>H626</f>
        <v>72.802125000000004</v>
      </c>
      <c r="F711" s="218">
        <f>(D711-E711)/C711</f>
        <v>1.1464872537841331</v>
      </c>
      <c r="G711" s="218">
        <f>Ancho_estribo/2-F711</f>
        <v>0.15351274621586697</v>
      </c>
      <c r="H711" s="217">
        <f>C711/(Ancho_estribo-2*G711)</f>
        <v>49.437094318252086</v>
      </c>
      <c r="I711" s="209">
        <f>G706*1000</f>
        <v>450</v>
      </c>
      <c r="J711" s="210" t="str">
        <f>IF(H711&lt;I711,"Sí","No")</f>
        <v>Sí</v>
      </c>
      <c r="Q711" s="11"/>
    </row>
    <row r="712" spans="1:17" s="37" customFormat="1" x14ac:dyDescent="0.25">
      <c r="A712" s="36"/>
      <c r="B712" s="59"/>
      <c r="C712" s="59"/>
      <c r="D712" s="59"/>
      <c r="E712" s="59"/>
      <c r="F712" s="59"/>
      <c r="G712" s="59"/>
      <c r="H712" s="59"/>
      <c r="I712" s="59"/>
      <c r="J712" s="59"/>
      <c r="Q712" s="11"/>
    </row>
    <row r="713" spans="1:17" s="37" customFormat="1" ht="12.75" customHeight="1" x14ac:dyDescent="0.25">
      <c r="A713" s="36"/>
      <c r="B713" s="349" t="s">
        <v>404</v>
      </c>
      <c r="C713" s="349"/>
      <c r="D713" s="349"/>
      <c r="E713" s="349"/>
      <c r="F713" s="349"/>
      <c r="G713" s="349"/>
      <c r="H713" s="349"/>
      <c r="I713" s="349"/>
      <c r="J713" s="349"/>
      <c r="Q713" s="11"/>
    </row>
    <row r="714" spans="1:17" s="37" customFormat="1" x14ac:dyDescent="0.25">
      <c r="A714" s="36"/>
      <c r="B714" s="349"/>
      <c r="C714" s="349"/>
      <c r="D714" s="349"/>
      <c r="E714" s="349"/>
      <c r="F714" s="349"/>
      <c r="G714" s="349"/>
      <c r="H714" s="349"/>
      <c r="I714" s="349"/>
      <c r="J714" s="349"/>
      <c r="Q714" s="11"/>
    </row>
    <row r="715" spans="1:17" s="37" customFormat="1" x14ac:dyDescent="0.25">
      <c r="A715" s="36"/>
      <c r="B715" s="349"/>
      <c r="C715" s="349"/>
      <c r="D715" s="349"/>
      <c r="E715" s="349"/>
      <c r="F715" s="349"/>
      <c r="G715" s="349"/>
      <c r="H715" s="349"/>
      <c r="I715" s="349"/>
      <c r="J715" s="349"/>
      <c r="Q715" s="11"/>
    </row>
    <row r="716" spans="1:17" s="37" customFormat="1" x14ac:dyDescent="0.25">
      <c r="A716" s="36"/>
      <c r="B716" s="349"/>
      <c r="C716" s="349"/>
      <c r="D716" s="349"/>
      <c r="E716" s="349"/>
      <c r="F716" s="349"/>
      <c r="G716" s="349"/>
      <c r="H716" s="349"/>
      <c r="I716" s="349"/>
      <c r="J716" s="349"/>
      <c r="Q716" s="11"/>
    </row>
    <row r="717" spans="1:17" s="37" customFormat="1" x14ac:dyDescent="0.25">
      <c r="A717" s="36"/>
      <c r="B717" s="59"/>
      <c r="C717" s="59"/>
      <c r="D717" s="59"/>
      <c r="E717" s="59"/>
      <c r="F717" s="59"/>
      <c r="G717" s="59"/>
      <c r="H717" s="59"/>
      <c r="I717" s="59"/>
      <c r="J717" s="59"/>
      <c r="Q717" s="11"/>
    </row>
    <row r="718" spans="1:17" s="1" customFormat="1" ht="15" x14ac:dyDescent="0.25">
      <c r="A718" s="27" t="s">
        <v>371</v>
      </c>
      <c r="B718" s="37" t="s">
        <v>372</v>
      </c>
      <c r="C718" s="10" t="s">
        <v>373</v>
      </c>
      <c r="D718" s="10" t="s">
        <v>374</v>
      </c>
      <c r="E718" s="10" t="s">
        <v>375</v>
      </c>
      <c r="F718" s="45" t="s">
        <v>3</v>
      </c>
      <c r="G718" s="45" t="s">
        <v>376</v>
      </c>
      <c r="H718" s="61" t="s">
        <v>402</v>
      </c>
      <c r="I718" s="61" t="s">
        <v>405</v>
      </c>
      <c r="J718" s="10" t="s">
        <v>378</v>
      </c>
      <c r="Q718" s="11"/>
    </row>
    <row r="719" spans="1:17" s="1" customFormat="1" x14ac:dyDescent="0.3">
      <c r="A719" s="350" t="s">
        <v>406</v>
      </c>
      <c r="B719" s="37" t="s">
        <v>380</v>
      </c>
      <c r="C719" s="10">
        <f>I577</f>
        <v>161.50848541666667</v>
      </c>
      <c r="D719" s="10">
        <f>I594</f>
        <v>287.13703661458334</v>
      </c>
      <c r="E719" s="10">
        <f>H628</f>
        <v>103.49428845250003</v>
      </c>
      <c r="F719" s="46">
        <f>(D719-E719)/C719</f>
        <v>1.1370470578577572</v>
      </c>
      <c r="G719" s="46">
        <f>Ancho_estribo/2-F719</f>
        <v>0.16295294214224287</v>
      </c>
      <c r="H719" s="18">
        <f>C719/(Ancho_estribo-2*G719)</f>
        <v>71.021020766262396</v>
      </c>
      <c r="I719" s="18">
        <f>G43*1000</f>
        <v>800</v>
      </c>
      <c r="J719" s="10" t="str">
        <f>IF(G719&lt;I719,"Cumple","No cumple")</f>
        <v>Cumple</v>
      </c>
      <c r="Q719" s="11"/>
    </row>
    <row r="720" spans="1:17" s="1" customFormat="1" x14ac:dyDescent="0.3">
      <c r="A720" s="350"/>
      <c r="B720" s="37" t="s">
        <v>381</v>
      </c>
      <c r="C720" s="10">
        <f>I579</f>
        <v>113.357997</v>
      </c>
      <c r="D720" s="10">
        <f>I596</f>
        <v>202.76562367499997</v>
      </c>
      <c r="E720" s="10">
        <f>H630</f>
        <v>72.608538452500028</v>
      </c>
      <c r="F720" s="46">
        <f>(D720-E720)/C720</f>
        <v>1.1481949987392592</v>
      </c>
      <c r="G720" s="46">
        <f>Ancho_estribo/2-F720</f>
        <v>0.15180500126074081</v>
      </c>
      <c r="H720" s="18">
        <f>C720/(Ancho_estribo-2*G720)</f>
        <v>49.363565040985769</v>
      </c>
      <c r="I720" s="18">
        <f>G43*1000</f>
        <v>800</v>
      </c>
      <c r="J720" s="10" t="str">
        <f>IF(G720&lt;I720,"Cumple","No cumple")</f>
        <v>Cumple</v>
      </c>
      <c r="Q720" s="11"/>
    </row>
    <row r="721" spans="1:17" s="37" customFormat="1" x14ac:dyDescent="0.25">
      <c r="A721" s="36"/>
      <c r="B721" s="59"/>
      <c r="C721" s="59"/>
      <c r="D721" s="59"/>
      <c r="E721" s="59"/>
      <c r="F721" s="59"/>
      <c r="G721" s="59"/>
      <c r="H721" s="59"/>
      <c r="I721" s="59"/>
      <c r="J721" s="59"/>
      <c r="Q721" s="11"/>
    </row>
    <row r="722" spans="1:17" s="37" customFormat="1" x14ac:dyDescent="0.25">
      <c r="A722" s="36"/>
      <c r="B722" s="59" t="s">
        <v>407</v>
      </c>
      <c r="C722" s="59"/>
      <c r="D722" s="59"/>
      <c r="E722" s="59"/>
      <c r="F722" s="59"/>
      <c r="G722" s="59"/>
      <c r="H722" s="59"/>
      <c r="I722" s="59"/>
      <c r="J722" s="59"/>
      <c r="Q722" s="11"/>
    </row>
    <row r="723" spans="1:17" s="37" customFormat="1" x14ac:dyDescent="0.25">
      <c r="A723" s="36"/>
      <c r="B723" s="59"/>
      <c r="C723" s="59"/>
      <c r="D723" s="59"/>
      <c r="E723" s="59"/>
      <c r="F723" s="59"/>
      <c r="G723" s="59"/>
      <c r="H723" s="59"/>
      <c r="I723" s="59"/>
      <c r="J723" s="59"/>
      <c r="Q723" s="11"/>
    </row>
    <row r="724" spans="1:17" s="1" customFormat="1" ht="15" x14ac:dyDescent="0.25">
      <c r="A724" s="207" t="s">
        <v>371</v>
      </c>
      <c r="B724" s="215" t="s">
        <v>372</v>
      </c>
      <c r="C724" s="210" t="s">
        <v>373</v>
      </c>
      <c r="D724" s="210" t="s">
        <v>374</v>
      </c>
      <c r="E724" s="210" t="s">
        <v>375</v>
      </c>
      <c r="F724" s="212" t="s">
        <v>3</v>
      </c>
      <c r="G724" s="212" t="s">
        <v>376</v>
      </c>
      <c r="H724" s="219" t="s">
        <v>402</v>
      </c>
      <c r="I724" s="219" t="s">
        <v>405</v>
      </c>
      <c r="J724" s="210" t="s">
        <v>378</v>
      </c>
      <c r="Q724" s="11"/>
    </row>
    <row r="725" spans="1:17" s="1" customFormat="1" x14ac:dyDescent="0.3">
      <c r="A725" s="220" t="s">
        <v>408</v>
      </c>
      <c r="B725" s="215" t="s">
        <v>380</v>
      </c>
      <c r="C725" s="210">
        <f>I581</f>
        <v>132.34658833333333</v>
      </c>
      <c r="D725" s="210">
        <f>I598</f>
        <v>232.54602429166667</v>
      </c>
      <c r="E725" s="210">
        <f>H632</f>
        <v>55.888500000000001</v>
      </c>
      <c r="F725" s="218">
        <f>(D725-E725)/C725</f>
        <v>1.3348098089746754</v>
      </c>
      <c r="G725" s="218">
        <f>Ancho_estribo/2-F725</f>
        <v>-3.4809808974675338E-2</v>
      </c>
      <c r="H725" s="217">
        <f>C725/(Ancho_estribo-2*G725)</f>
        <v>49.575073333853616</v>
      </c>
      <c r="I725" s="221">
        <f>G33*1000</f>
        <v>650</v>
      </c>
      <c r="J725" s="210" t="str">
        <f>IF(G725&lt;I725,"Cumple","No cumple")</f>
        <v>Cumple</v>
      </c>
      <c r="Q725" s="11"/>
    </row>
    <row r="726" spans="1:17" s="37" customFormat="1" x14ac:dyDescent="0.25">
      <c r="A726" s="36"/>
      <c r="Q726" s="11"/>
    </row>
    <row r="727" spans="1:17" s="1" customFormat="1" x14ac:dyDescent="0.25">
      <c r="A727" s="58">
        <f>A694+1</f>
        <v>2</v>
      </c>
      <c r="B727" s="27" t="s">
        <v>409</v>
      </c>
      <c r="C727" s="37"/>
      <c r="D727" s="10"/>
      <c r="E727" s="10"/>
      <c r="F727" s="10"/>
      <c r="G727" s="45"/>
      <c r="H727" s="45"/>
      <c r="I727" s="18"/>
      <c r="J727" s="10"/>
      <c r="Q727" s="11"/>
    </row>
    <row r="728" spans="1:17" s="37" customFormat="1" x14ac:dyDescent="0.25">
      <c r="A728" s="36"/>
      <c r="Q728" s="11"/>
    </row>
    <row r="729" spans="1:17" s="37" customFormat="1" ht="15.75" customHeight="1" x14ac:dyDescent="0.25">
      <c r="A729" s="36"/>
      <c r="B729" s="349" t="s">
        <v>410</v>
      </c>
      <c r="C729" s="349"/>
      <c r="D729" s="349"/>
      <c r="E729" s="349"/>
      <c r="F729" s="349"/>
      <c r="G729" s="349"/>
      <c r="H729" s="349"/>
      <c r="I729" s="349"/>
      <c r="J729" s="349"/>
      <c r="Q729" s="11"/>
    </row>
    <row r="730" spans="1:17" s="37" customFormat="1" x14ac:dyDescent="0.25">
      <c r="A730" s="36"/>
      <c r="B730" s="349"/>
      <c r="C730" s="349"/>
      <c r="D730" s="349"/>
      <c r="E730" s="349"/>
      <c r="F730" s="349"/>
      <c r="G730" s="349"/>
      <c r="H730" s="349"/>
      <c r="I730" s="349"/>
      <c r="J730" s="349"/>
      <c r="Q730" s="11"/>
    </row>
    <row r="731" spans="1:17" s="37" customFormat="1" x14ac:dyDescent="0.25">
      <c r="A731" s="36"/>
      <c r="B731" s="349"/>
      <c r="C731" s="349"/>
      <c r="D731" s="349"/>
      <c r="E731" s="349"/>
      <c r="F731" s="349"/>
      <c r="G731" s="349"/>
      <c r="H731" s="349"/>
      <c r="I731" s="349"/>
      <c r="J731" s="349"/>
      <c r="Q731" s="11"/>
    </row>
    <row r="732" spans="1:17" s="37" customFormat="1" x14ac:dyDescent="0.25">
      <c r="A732" s="36"/>
      <c r="B732" s="59"/>
      <c r="C732" s="59"/>
      <c r="D732" s="59"/>
      <c r="E732" s="59"/>
      <c r="F732" s="59"/>
      <c r="G732" s="59"/>
      <c r="H732" s="59"/>
      <c r="I732" s="59"/>
      <c r="J732" s="59"/>
      <c r="Q732" s="11"/>
    </row>
    <row r="733" spans="1:17" s="37" customFormat="1" x14ac:dyDescent="0.25">
      <c r="A733" s="62" t="s">
        <v>411</v>
      </c>
      <c r="B733" s="59" t="s">
        <v>412</v>
      </c>
      <c r="C733" s="59"/>
      <c r="D733" s="59"/>
      <c r="E733" s="59"/>
      <c r="F733" s="59"/>
      <c r="G733" s="59"/>
      <c r="H733" s="59"/>
      <c r="I733" s="59"/>
      <c r="J733" s="59"/>
      <c r="Q733" s="11"/>
    </row>
    <row r="734" spans="1:17" s="37" customFormat="1" x14ac:dyDescent="0.25">
      <c r="A734" s="36"/>
      <c r="B734" s="59"/>
      <c r="C734" s="59"/>
      <c r="D734" s="59"/>
      <c r="E734" s="59"/>
      <c r="F734" s="59"/>
      <c r="G734" s="59"/>
      <c r="H734" s="59"/>
      <c r="I734" s="59"/>
      <c r="J734" s="59"/>
      <c r="Q734" s="11"/>
    </row>
    <row r="735" spans="1:17" s="1" customFormat="1" ht="15" x14ac:dyDescent="0.25">
      <c r="A735" s="27" t="s">
        <v>371</v>
      </c>
      <c r="B735" s="37" t="s">
        <v>372</v>
      </c>
      <c r="C735" s="10" t="s">
        <v>373</v>
      </c>
      <c r="D735" s="10" t="s">
        <v>374</v>
      </c>
      <c r="E735" s="10" t="s">
        <v>375</v>
      </c>
      <c r="F735" s="45" t="s">
        <v>376</v>
      </c>
      <c r="G735" s="45" t="s">
        <v>413</v>
      </c>
      <c r="H735" s="61" t="s">
        <v>414</v>
      </c>
      <c r="I735" s="61" t="s">
        <v>577</v>
      </c>
      <c r="J735" s="61" t="s">
        <v>578</v>
      </c>
      <c r="Q735" s="11"/>
    </row>
    <row r="736" spans="1:17" s="1" customFormat="1" x14ac:dyDescent="0.3">
      <c r="A736" s="350" t="s">
        <v>415</v>
      </c>
      <c r="B736" s="37" t="s">
        <v>380</v>
      </c>
      <c r="C736" s="10">
        <f>I573</f>
        <v>176.75167291666668</v>
      </c>
      <c r="D736" s="10">
        <f>I590</f>
        <v>311.97290692708333</v>
      </c>
      <c r="E736" s="10">
        <f>H624</f>
        <v>90.451125000000005</v>
      </c>
      <c r="F736" s="46">
        <f>Ancho_estribo/2-(D736-E736)/C736</f>
        <v>4.6706165369509778E-2</v>
      </c>
      <c r="G736" s="46" t="str">
        <f>IF(F736&lt;(9/20)*Ancho_estribo,"Sí","No")</f>
        <v>Sí</v>
      </c>
      <c r="H736" s="18" t="str">
        <f>IF(ABS(F736)&lt;Ancho_estribo/6,"Sí","No")</f>
        <v>Sí</v>
      </c>
      <c r="I736" s="18">
        <f>IF(H736="Sí",C736/Ancho_estribo*(1+6*F736/Ancho_estribo),2*C736/(3*Ancho_estribo*(Ancho_estribo/2-F736)))</f>
        <v>75.308684433555229</v>
      </c>
      <c r="J736" s="18">
        <f>IF(H736="Sí",C736/Ancho_estribo*(1-6*F736/Ancho_estribo),0)</f>
        <v>60.654140886957592</v>
      </c>
      <c r="Q736" s="11"/>
    </row>
    <row r="737" spans="1:17" s="1" customFormat="1" x14ac:dyDescent="0.3">
      <c r="A737" s="350"/>
      <c r="B737" s="37" t="s">
        <v>381</v>
      </c>
      <c r="C737" s="10">
        <f>I575</f>
        <v>113.357997</v>
      </c>
      <c r="D737" s="10">
        <f>I592</f>
        <v>202.76562367499997</v>
      </c>
      <c r="E737" s="10">
        <f>H626</f>
        <v>72.802125000000004</v>
      </c>
      <c r="F737" s="46">
        <f>Ancho_estribo/2-(D737-E737)/C737</f>
        <v>0.15351274621586697</v>
      </c>
      <c r="G737" s="46" t="str">
        <f>IF(F737&lt;(9/20)*Ancho_estribo,"Sí","No")</f>
        <v>Sí</v>
      </c>
      <c r="H737" s="18" t="str">
        <f>IF(ABS(F737)&lt;Ancho_estribo/6,"Sí","No")</f>
        <v>Sí</v>
      </c>
      <c r="I737" s="18">
        <f>IF(H737="Sí",C737/Ancho_estribo*(1+6*F737/Ancho_estribo),2*C737/(3*Ancho_estribo*(Ancho_estribo/2-F737)))</f>
        <v>59.04470070266273</v>
      </c>
      <c r="J737" s="18">
        <f>IF(H737="Sí",C737/Ancho_estribo*(1-6*F737/Ancho_estribo),0)</f>
        <v>28.153758528106501</v>
      </c>
      <c r="Q737" s="11"/>
    </row>
    <row r="738" spans="1:17" s="37" customFormat="1" x14ac:dyDescent="0.25">
      <c r="A738" s="36"/>
      <c r="B738" s="59"/>
      <c r="C738" s="59"/>
      <c r="D738" s="59"/>
      <c r="E738" s="59"/>
      <c r="F738" s="59"/>
      <c r="G738" s="59"/>
      <c r="H738" s="59"/>
      <c r="I738" s="59"/>
      <c r="J738" s="59"/>
      <c r="Q738" s="11"/>
    </row>
    <row r="739" spans="1:17" s="1" customFormat="1" x14ac:dyDescent="0.25">
      <c r="A739" s="56">
        <f>A676+1</f>
        <v>4</v>
      </c>
      <c r="B739" s="27" t="s">
        <v>416</v>
      </c>
      <c r="C739" s="37"/>
      <c r="D739" s="10"/>
      <c r="E739" s="10"/>
      <c r="F739" s="10"/>
      <c r="G739" s="45"/>
      <c r="H739" s="45"/>
      <c r="I739" s="18"/>
      <c r="J739" s="10"/>
      <c r="Q739" s="11"/>
    </row>
    <row r="740" spans="1:17" s="37" customFormat="1" x14ac:dyDescent="0.25">
      <c r="A740" s="36"/>
      <c r="B740" s="59"/>
      <c r="C740" s="59"/>
      <c r="D740" s="59"/>
      <c r="E740" s="59"/>
      <c r="F740" s="59"/>
      <c r="G740" s="59"/>
      <c r="H740" s="59"/>
      <c r="I740" s="59"/>
      <c r="J740" s="59"/>
      <c r="Q740" s="11"/>
    </row>
    <row r="741" spans="1:17" s="37" customFormat="1" ht="12.75" customHeight="1" x14ac:dyDescent="0.25">
      <c r="A741" s="36"/>
      <c r="B741" s="336" t="s">
        <v>417</v>
      </c>
      <c r="C741" s="336"/>
      <c r="D741" s="336"/>
      <c r="E741" s="336"/>
      <c r="F741" s="336"/>
      <c r="G741" s="336"/>
      <c r="H741" s="336"/>
      <c r="I741" s="336"/>
      <c r="J741" s="336"/>
      <c r="Q741" s="11"/>
    </row>
    <row r="742" spans="1:17" s="37" customFormat="1" x14ac:dyDescent="0.25">
      <c r="A742" s="36"/>
      <c r="B742" s="336"/>
      <c r="C742" s="336"/>
      <c r="D742" s="336"/>
      <c r="E742" s="336"/>
      <c r="F742" s="336"/>
      <c r="G742" s="336"/>
      <c r="H742" s="336"/>
      <c r="I742" s="336"/>
      <c r="J742" s="336"/>
      <c r="Q742" s="11"/>
    </row>
    <row r="743" spans="1:17" s="37" customFormat="1" x14ac:dyDescent="0.25">
      <c r="A743" s="36"/>
      <c r="B743" s="336"/>
      <c r="C743" s="336"/>
      <c r="D743" s="336"/>
      <c r="E743" s="336"/>
      <c r="F743" s="336"/>
      <c r="G743" s="336"/>
      <c r="H743" s="336"/>
      <c r="I743" s="336"/>
      <c r="J743" s="336"/>
      <c r="Q743" s="11"/>
    </row>
    <row r="744" spans="1:17" s="37" customFormat="1" x14ac:dyDescent="0.25">
      <c r="A744" s="36"/>
      <c r="B744" s="336"/>
      <c r="C744" s="336"/>
      <c r="D744" s="336"/>
      <c r="E744" s="336"/>
      <c r="F744" s="336"/>
      <c r="G744" s="336"/>
      <c r="H744" s="336"/>
      <c r="I744" s="336"/>
      <c r="J744" s="336"/>
      <c r="Q744" s="11"/>
    </row>
    <row r="745" spans="1:17" s="37" customFormat="1" x14ac:dyDescent="0.25">
      <c r="A745" s="36"/>
      <c r="B745" s="59"/>
      <c r="C745" s="59"/>
      <c r="D745" s="59"/>
      <c r="E745" s="59"/>
      <c r="F745" s="59"/>
      <c r="G745" s="59"/>
      <c r="H745" s="59"/>
      <c r="I745" s="59"/>
      <c r="J745" s="59"/>
      <c r="Q745" s="11"/>
    </row>
    <row r="746" spans="1:17" s="37" customFormat="1" x14ac:dyDescent="0.25">
      <c r="A746" s="36"/>
      <c r="B746" s="336" t="s">
        <v>418</v>
      </c>
      <c r="C746" s="336"/>
      <c r="D746" s="336"/>
      <c r="E746" s="336"/>
      <c r="F746" s="336"/>
      <c r="G746" s="336"/>
      <c r="H746" s="336"/>
      <c r="I746" s="336"/>
      <c r="J746" s="336"/>
      <c r="Q746" s="11"/>
    </row>
    <row r="747" spans="1:17" s="37" customFormat="1" x14ac:dyDescent="0.25">
      <c r="A747" s="36"/>
      <c r="B747" s="336"/>
      <c r="C747" s="336"/>
      <c r="D747" s="336"/>
      <c r="E747" s="336"/>
      <c r="F747" s="336"/>
      <c r="G747" s="336"/>
      <c r="H747" s="336"/>
      <c r="I747" s="336"/>
      <c r="J747" s="336"/>
      <c r="Q747" s="11"/>
    </row>
    <row r="748" spans="1:17" s="37" customFormat="1" x14ac:dyDescent="0.25">
      <c r="A748" s="36"/>
      <c r="B748" s="59"/>
      <c r="C748" s="59"/>
      <c r="D748" s="59"/>
      <c r="E748" s="59"/>
      <c r="F748" s="59"/>
      <c r="G748" s="59"/>
      <c r="H748" s="59"/>
      <c r="I748" s="59"/>
      <c r="J748" s="59"/>
      <c r="Q748" s="11"/>
    </row>
    <row r="749" spans="1:17" s="1" customFormat="1" ht="15" x14ac:dyDescent="0.35">
      <c r="A749" s="36" t="s">
        <v>12</v>
      </c>
      <c r="B749" s="43" t="s">
        <v>419</v>
      </c>
      <c r="C749" s="43" t="s">
        <v>420</v>
      </c>
      <c r="D749" s="43" t="s">
        <v>421</v>
      </c>
      <c r="E749" s="10"/>
      <c r="F749" s="10"/>
      <c r="G749" s="60" t="s">
        <v>422</v>
      </c>
      <c r="H749" s="48"/>
      <c r="I749" s="18"/>
      <c r="J749" s="10"/>
      <c r="Q749" s="11"/>
    </row>
    <row r="750" spans="1:17" s="1" customFormat="1" ht="15" x14ac:dyDescent="0.35">
      <c r="A750" s="36" t="s">
        <v>12</v>
      </c>
      <c r="B750" s="43" t="s">
        <v>419</v>
      </c>
      <c r="C750" s="59" t="s">
        <v>423</v>
      </c>
      <c r="D750" s="43"/>
      <c r="E750" s="10"/>
      <c r="F750" s="10"/>
      <c r="G750" s="60"/>
      <c r="H750" s="48"/>
      <c r="I750" s="18"/>
      <c r="J750" s="10"/>
      <c r="Q750" s="11"/>
    </row>
    <row r="751" spans="1:17" s="1" customFormat="1" ht="15" x14ac:dyDescent="0.35">
      <c r="A751" s="36" t="s">
        <v>12</v>
      </c>
      <c r="B751" s="43" t="s">
        <v>424</v>
      </c>
      <c r="C751" s="336" t="s">
        <v>425</v>
      </c>
      <c r="D751" s="336"/>
      <c r="E751" s="336"/>
      <c r="F751" s="336"/>
      <c r="G751" s="60" t="s">
        <v>426</v>
      </c>
      <c r="H751" s="48"/>
      <c r="I751" s="18"/>
      <c r="J751" s="10"/>
      <c r="Q751" s="11"/>
    </row>
    <row r="752" spans="1:17" s="37" customFormat="1" x14ac:dyDescent="0.25">
      <c r="A752" s="36"/>
      <c r="B752" s="59"/>
      <c r="C752" s="336"/>
      <c r="D752" s="336"/>
      <c r="E752" s="336"/>
      <c r="F752" s="336"/>
      <c r="G752" s="59"/>
      <c r="H752" s="59"/>
      <c r="I752" s="59"/>
      <c r="J752" s="59"/>
      <c r="Q752" s="11"/>
    </row>
    <row r="753" spans="1:17" s="37" customFormat="1" x14ac:dyDescent="0.25">
      <c r="A753" s="36"/>
      <c r="B753" s="59"/>
      <c r="C753" s="59"/>
      <c r="D753" s="59"/>
      <c r="E753" s="59"/>
      <c r="F753" s="59"/>
      <c r="G753" s="59"/>
      <c r="H753" s="59"/>
      <c r="I753" s="59"/>
      <c r="J753" s="59"/>
      <c r="Q753" s="11"/>
    </row>
    <row r="754" spans="1:17" s="37" customFormat="1" x14ac:dyDescent="0.25">
      <c r="A754" s="36"/>
      <c r="B754" s="336" t="s">
        <v>427</v>
      </c>
      <c r="C754" s="336"/>
      <c r="D754" s="336"/>
      <c r="E754" s="336"/>
      <c r="F754" s="336"/>
      <c r="G754" s="336"/>
      <c r="H754" s="336"/>
      <c r="I754" s="336"/>
      <c r="J754" s="336"/>
      <c r="Q754" s="11"/>
    </row>
    <row r="755" spans="1:17" s="37" customFormat="1" x14ac:dyDescent="0.25">
      <c r="A755" s="36"/>
      <c r="B755" s="336"/>
      <c r="C755" s="336"/>
      <c r="D755" s="336"/>
      <c r="E755" s="336"/>
      <c r="F755" s="336"/>
      <c r="G755" s="336"/>
      <c r="H755" s="336"/>
      <c r="I755" s="336"/>
      <c r="J755" s="336"/>
      <c r="Q755" s="11"/>
    </row>
    <row r="756" spans="1:17" s="37" customFormat="1" x14ac:dyDescent="0.25">
      <c r="A756" s="36"/>
      <c r="B756" s="59"/>
      <c r="C756" s="59"/>
      <c r="D756" s="59"/>
      <c r="E756" s="59"/>
      <c r="F756" s="59"/>
      <c r="G756" s="59"/>
      <c r="H756" s="59"/>
      <c r="I756" s="59"/>
      <c r="J756" s="59"/>
      <c r="Q756" s="11"/>
    </row>
    <row r="757" spans="1:17" s="1" customFormat="1" ht="15" x14ac:dyDescent="0.35">
      <c r="A757" s="36" t="s">
        <v>12</v>
      </c>
      <c r="B757" s="43" t="s">
        <v>428</v>
      </c>
      <c r="C757" s="43" t="s">
        <v>429</v>
      </c>
      <c r="D757" s="43"/>
      <c r="E757" s="10"/>
      <c r="F757" s="10"/>
      <c r="G757" s="60" t="s">
        <v>430</v>
      </c>
      <c r="H757" s="48"/>
      <c r="I757" s="18"/>
      <c r="J757" s="10"/>
      <c r="Q757" s="11"/>
    </row>
    <row r="758" spans="1:17" s="37" customFormat="1" x14ac:dyDescent="0.25">
      <c r="A758" s="36"/>
      <c r="B758" s="59"/>
      <c r="C758" s="59"/>
      <c r="D758" s="59"/>
      <c r="E758" s="59"/>
      <c r="F758" s="59"/>
      <c r="G758" s="59"/>
      <c r="H758" s="59"/>
      <c r="I758" s="59"/>
      <c r="J758" s="59"/>
      <c r="Q758" s="11"/>
    </row>
    <row r="759" spans="1:17" s="37" customFormat="1" x14ac:dyDescent="0.25">
      <c r="A759" s="36"/>
      <c r="B759" s="59" t="s">
        <v>149</v>
      </c>
      <c r="C759" s="59"/>
      <c r="D759" s="59"/>
      <c r="E759" s="59"/>
      <c r="F759" s="59"/>
      <c r="G759" s="59"/>
      <c r="H759" s="59"/>
      <c r="I759" s="59"/>
      <c r="J759" s="59"/>
      <c r="Q759" s="11"/>
    </row>
    <row r="760" spans="1:17" s="37" customFormat="1" x14ac:dyDescent="0.25">
      <c r="A760" s="36"/>
      <c r="B760" s="59"/>
      <c r="C760" s="59"/>
      <c r="D760" s="59"/>
      <c r="E760" s="59"/>
      <c r="F760" s="59"/>
      <c r="G760" s="59"/>
      <c r="H760" s="59"/>
      <c r="I760" s="59"/>
      <c r="J760" s="59"/>
      <c r="Q760" s="11"/>
    </row>
    <row r="761" spans="1:17" s="1" customFormat="1" ht="15" x14ac:dyDescent="0.35">
      <c r="A761" s="36" t="s">
        <v>12</v>
      </c>
      <c r="B761" s="43" t="s">
        <v>431</v>
      </c>
      <c r="C761" s="63" t="s">
        <v>432</v>
      </c>
      <c r="D761" s="43"/>
      <c r="E761" s="18" t="s">
        <v>433</v>
      </c>
      <c r="F761" s="10"/>
      <c r="G761" s="60"/>
      <c r="H761" s="48"/>
      <c r="I761" s="18"/>
      <c r="J761" s="10"/>
      <c r="Q761" s="11"/>
    </row>
    <row r="762" spans="1:17" s="1" customFormat="1" ht="13.8" x14ac:dyDescent="0.3">
      <c r="A762" s="36" t="s">
        <v>12</v>
      </c>
      <c r="B762" s="43" t="s">
        <v>431</v>
      </c>
      <c r="C762" s="63" t="s">
        <v>434</v>
      </c>
      <c r="D762" s="43"/>
      <c r="E762" s="18" t="s">
        <v>435</v>
      </c>
      <c r="F762" s="10"/>
      <c r="G762" s="60"/>
      <c r="H762" s="48"/>
      <c r="I762" s="18"/>
      <c r="J762" s="10"/>
      <c r="Q762" s="11"/>
    </row>
    <row r="763" spans="1:17" s="37" customFormat="1" x14ac:dyDescent="0.25">
      <c r="A763" s="36"/>
      <c r="B763" s="59"/>
      <c r="C763" s="59"/>
      <c r="D763" s="59"/>
      <c r="E763" s="59"/>
      <c r="F763" s="59"/>
      <c r="G763" s="59"/>
      <c r="H763" s="59"/>
      <c r="I763" s="59"/>
      <c r="J763" s="59"/>
      <c r="Q763" s="11"/>
    </row>
    <row r="764" spans="1:17" s="1" customFormat="1" ht="15" x14ac:dyDescent="0.35">
      <c r="A764" s="36" t="s">
        <v>12</v>
      </c>
      <c r="B764" s="63" t="s">
        <v>436</v>
      </c>
      <c r="C764" s="18" t="s">
        <v>437</v>
      </c>
      <c r="D764" s="43"/>
      <c r="E764" s="18"/>
      <c r="F764" s="10"/>
      <c r="G764" s="60"/>
      <c r="H764" s="48"/>
      <c r="I764" s="18"/>
      <c r="J764" s="10"/>
      <c r="Q764" s="11"/>
    </row>
    <row r="765" spans="1:17" s="1" customFormat="1" ht="13.8" x14ac:dyDescent="0.3">
      <c r="A765" s="36" t="s">
        <v>12</v>
      </c>
      <c r="B765" s="63" t="s">
        <v>438</v>
      </c>
      <c r="C765" s="18" t="s">
        <v>439</v>
      </c>
      <c r="D765" s="43"/>
      <c r="E765" s="18"/>
      <c r="F765" s="10"/>
      <c r="G765" s="60"/>
      <c r="H765" s="48"/>
      <c r="I765" s="18"/>
      <c r="J765" s="10"/>
      <c r="Q765" s="11"/>
    </row>
    <row r="766" spans="1:17" s="37" customFormat="1" x14ac:dyDescent="0.25">
      <c r="A766" s="36"/>
      <c r="B766" s="59"/>
      <c r="C766" s="59"/>
      <c r="D766" s="59"/>
      <c r="E766" s="59"/>
      <c r="F766" s="59"/>
      <c r="G766" s="59"/>
      <c r="H766" s="59"/>
      <c r="I766" s="59"/>
      <c r="J766" s="59"/>
      <c r="Q766" s="11"/>
    </row>
    <row r="767" spans="1:17" s="37" customFormat="1" x14ac:dyDescent="0.25">
      <c r="A767" s="36"/>
      <c r="B767" s="336" t="s">
        <v>440</v>
      </c>
      <c r="C767" s="336"/>
      <c r="D767" s="336"/>
      <c r="E767" s="336"/>
      <c r="F767" s="336"/>
      <c r="G767" s="336"/>
      <c r="H767" s="336"/>
      <c r="I767" s="336"/>
      <c r="J767" s="336"/>
      <c r="Q767" s="11"/>
    </row>
    <row r="768" spans="1:17" s="37" customFormat="1" x14ac:dyDescent="0.25">
      <c r="A768" s="36"/>
      <c r="B768" s="336"/>
      <c r="C768" s="336"/>
      <c r="D768" s="336"/>
      <c r="E768" s="336"/>
      <c r="F768" s="336"/>
      <c r="G768" s="336"/>
      <c r="H768" s="336"/>
      <c r="I768" s="336"/>
      <c r="J768" s="336"/>
      <c r="Q768" s="11"/>
    </row>
    <row r="769" spans="1:17" s="37" customFormat="1" x14ac:dyDescent="0.25">
      <c r="A769" s="36"/>
      <c r="B769" s="336"/>
      <c r="C769" s="336"/>
      <c r="D769" s="336"/>
      <c r="E769" s="336"/>
      <c r="F769" s="336"/>
      <c r="G769" s="336"/>
      <c r="H769" s="336"/>
      <c r="I769" s="336"/>
      <c r="J769" s="336"/>
      <c r="Q769" s="11"/>
    </row>
    <row r="770" spans="1:17" s="37" customFormat="1" x14ac:dyDescent="0.25">
      <c r="A770" s="36"/>
      <c r="B770" s="59"/>
      <c r="C770" s="59"/>
      <c r="D770" s="59"/>
      <c r="E770" s="59"/>
      <c r="F770" s="59"/>
      <c r="G770" s="59"/>
      <c r="H770" s="59"/>
      <c r="I770" s="59"/>
      <c r="J770" s="59"/>
      <c r="Q770" s="11"/>
    </row>
    <row r="771" spans="1:17" s="1" customFormat="1" ht="14.25" customHeight="1" x14ac:dyDescent="0.35">
      <c r="A771" s="36" t="s">
        <v>12</v>
      </c>
      <c r="B771" s="43" t="s">
        <v>424</v>
      </c>
      <c r="C771" s="28"/>
      <c r="D771" s="28"/>
      <c r="E771" s="28"/>
      <c r="F771" s="28"/>
      <c r="G771" s="64">
        <v>0.8</v>
      </c>
      <c r="H771" s="48" t="s">
        <v>441</v>
      </c>
      <c r="I771" s="18"/>
      <c r="J771" s="10"/>
      <c r="Q771" s="11"/>
    </row>
    <row r="772" spans="1:17" s="37" customFormat="1" x14ac:dyDescent="0.25">
      <c r="A772" s="36"/>
      <c r="B772" s="59"/>
      <c r="C772" s="28"/>
      <c r="D772" s="28"/>
      <c r="E772" s="28"/>
      <c r="F772" s="28"/>
      <c r="G772" s="59"/>
      <c r="H772" s="59"/>
      <c r="I772" s="59"/>
      <c r="J772" s="59"/>
      <c r="Q772" s="11"/>
    </row>
    <row r="773" spans="1:17" s="37" customFormat="1" x14ac:dyDescent="0.25">
      <c r="A773" s="36"/>
      <c r="B773" s="59" t="s">
        <v>442</v>
      </c>
      <c r="C773" s="59"/>
      <c r="D773" s="59"/>
      <c r="E773" s="59"/>
      <c r="F773" s="59"/>
      <c r="G773" s="59"/>
      <c r="H773" s="59"/>
      <c r="I773" s="59"/>
      <c r="J773" s="59"/>
      <c r="Q773" s="11"/>
    </row>
    <row r="774" spans="1:17" s="37" customFormat="1" x14ac:dyDescent="0.25">
      <c r="A774" s="36"/>
      <c r="B774" s="59"/>
      <c r="C774" s="59"/>
      <c r="D774" s="59"/>
      <c r="E774" s="59"/>
      <c r="F774" s="59"/>
      <c r="G774" s="59"/>
      <c r="H774" s="59"/>
      <c r="I774" s="59"/>
      <c r="J774" s="59"/>
      <c r="Q774" s="11"/>
    </row>
    <row r="775" spans="1:17" s="1" customFormat="1" ht="15" x14ac:dyDescent="0.35">
      <c r="A775" s="36" t="s">
        <v>12</v>
      </c>
      <c r="B775" s="63" t="s">
        <v>443</v>
      </c>
      <c r="C775" s="63"/>
      <c r="D775" s="43"/>
      <c r="E775" s="18"/>
      <c r="F775" s="10"/>
      <c r="G775" s="44">
        <f>TAN(RADIANS(G16))</f>
        <v>0.57735026918962573</v>
      </c>
      <c r="H775" s="48"/>
      <c r="I775" s="18"/>
      <c r="J775" s="10"/>
      <c r="Q775" s="11"/>
    </row>
    <row r="776" spans="1:17" s="1" customFormat="1" ht="15" x14ac:dyDescent="0.35">
      <c r="A776" s="36" t="s">
        <v>12</v>
      </c>
      <c r="B776" s="43" t="s">
        <v>579</v>
      </c>
      <c r="C776" s="63"/>
      <c r="D776" s="43"/>
      <c r="E776" s="18"/>
      <c r="F776" s="10"/>
      <c r="G776" s="44">
        <f>G771*G775</f>
        <v>0.4618802153517006</v>
      </c>
      <c r="H776" s="48"/>
      <c r="I776" s="18"/>
      <c r="J776" s="10"/>
      <c r="Q776" s="11"/>
    </row>
    <row r="777" spans="1:17" s="37" customFormat="1" x14ac:dyDescent="0.25">
      <c r="A777" s="36"/>
      <c r="B777" s="59"/>
      <c r="C777" s="59"/>
      <c r="D777" s="59"/>
      <c r="E777" s="59"/>
      <c r="F777" s="59"/>
      <c r="G777" s="59"/>
      <c r="H777" s="59"/>
      <c r="I777" s="59"/>
      <c r="J777" s="59"/>
      <c r="Q777" s="11"/>
    </row>
    <row r="778" spans="1:17" s="37" customFormat="1" ht="15.6" x14ac:dyDescent="0.35">
      <c r="A778" s="36"/>
      <c r="B778" s="222" t="s">
        <v>371</v>
      </c>
      <c r="C778" s="222"/>
      <c r="D778" s="222" t="s">
        <v>347</v>
      </c>
      <c r="E778" s="222" t="s">
        <v>444</v>
      </c>
      <c r="F778" s="222" t="s">
        <v>445</v>
      </c>
      <c r="G778" s="222" t="s">
        <v>446</v>
      </c>
      <c r="H778" s="59"/>
      <c r="I778" s="59"/>
      <c r="J778" s="59"/>
      <c r="Q778" s="11"/>
    </row>
    <row r="779" spans="1:17" s="1" customFormat="1" x14ac:dyDescent="0.3">
      <c r="B779" s="348" t="s">
        <v>415</v>
      </c>
      <c r="C779" s="215" t="s">
        <v>380</v>
      </c>
      <c r="D779" s="210">
        <f>I573</f>
        <v>176.75167291666668</v>
      </c>
      <c r="E779" s="210">
        <f>H607</f>
        <v>75.008250000000004</v>
      </c>
      <c r="F779" s="218">
        <f>$G$776*D779</f>
        <v>81.63810075052335</v>
      </c>
      <c r="G779" s="218" t="str">
        <f>IF(E779&lt;F779,"Sí","No")</f>
        <v>Sí</v>
      </c>
      <c r="H779" s="18"/>
      <c r="I779" s="18"/>
      <c r="J779" s="18"/>
      <c r="Q779" s="11"/>
    </row>
    <row r="780" spans="1:17" s="1" customFormat="1" x14ac:dyDescent="0.3">
      <c r="B780" s="348"/>
      <c r="C780" s="215" t="s">
        <v>381</v>
      </c>
      <c r="D780" s="210">
        <f>I575</f>
        <v>113.357997</v>
      </c>
      <c r="E780" s="210">
        <f>H609</f>
        <v>57.359250000000003</v>
      </c>
      <c r="F780" s="218">
        <f t="shared" ref="F780:F782" si="18">$G$776*D780</f>
        <v>52.357816066197429</v>
      </c>
      <c r="G780" s="218" t="str">
        <f t="shared" ref="G780:G782" si="19">IF(E780&lt;F780,"Sí","No")</f>
        <v>No</v>
      </c>
      <c r="H780" s="18"/>
      <c r="I780" s="18"/>
      <c r="J780" s="18"/>
      <c r="Q780" s="11"/>
    </row>
    <row r="781" spans="1:17" s="1" customFormat="1" x14ac:dyDescent="0.3">
      <c r="B781" s="348" t="s">
        <v>447</v>
      </c>
      <c r="C781" s="215" t="s">
        <v>380</v>
      </c>
      <c r="D781" s="210">
        <f>I577</f>
        <v>161.50848541666667</v>
      </c>
      <c r="E781" s="210">
        <f>H611</f>
        <v>90.729777877083336</v>
      </c>
      <c r="F781" s="218">
        <f t="shared" si="18"/>
        <v>74.597574025377</v>
      </c>
      <c r="G781" s="218" t="str">
        <f t="shared" si="19"/>
        <v>No</v>
      </c>
      <c r="H781" s="18"/>
      <c r="I781" s="18"/>
      <c r="J781" s="18"/>
      <c r="Q781" s="11"/>
    </row>
    <row r="782" spans="1:17" s="1" customFormat="1" x14ac:dyDescent="0.3">
      <c r="B782" s="348"/>
      <c r="C782" s="215" t="s">
        <v>381</v>
      </c>
      <c r="D782" s="210">
        <f>I579</f>
        <v>113.357997</v>
      </c>
      <c r="E782" s="210">
        <f>H613</f>
        <v>64.256277877083335</v>
      </c>
      <c r="F782" s="218">
        <f t="shared" si="18"/>
        <v>52.357816066197429</v>
      </c>
      <c r="G782" s="218" t="str">
        <f t="shared" si="19"/>
        <v>No</v>
      </c>
      <c r="H782" s="18"/>
      <c r="I782" s="18"/>
      <c r="J782" s="18"/>
      <c r="Q782" s="11"/>
    </row>
    <row r="783" spans="1:17" s="37" customFormat="1" x14ac:dyDescent="0.25">
      <c r="A783" s="36"/>
      <c r="B783" s="59"/>
      <c r="C783" s="59"/>
      <c r="D783" s="59"/>
      <c r="E783" s="59"/>
      <c r="F783" s="59"/>
      <c r="G783" s="59"/>
      <c r="H783" s="59"/>
      <c r="I783" s="59"/>
      <c r="J783" s="59"/>
      <c r="Q783" s="11"/>
    </row>
    <row r="784" spans="1:17" s="1" customFormat="1" ht="12.75" customHeight="1" x14ac:dyDescent="0.3">
      <c r="A784" s="9">
        <f>A635+1</f>
        <v>12</v>
      </c>
      <c r="B784" s="5" t="s">
        <v>448</v>
      </c>
      <c r="C784" s="10"/>
      <c r="D784" s="10"/>
      <c r="E784" s="10"/>
      <c r="F784" s="10"/>
      <c r="G784" s="10"/>
      <c r="H784" s="10"/>
      <c r="I784" s="10"/>
      <c r="J784" s="10"/>
    </row>
    <row r="785" spans="1:17" s="37" customFormat="1" x14ac:dyDescent="0.25">
      <c r="A785" s="36"/>
      <c r="B785" s="59"/>
      <c r="C785" s="59"/>
      <c r="D785" s="59"/>
      <c r="E785" s="59"/>
      <c r="F785" s="59"/>
      <c r="G785" s="59"/>
      <c r="H785" s="59"/>
      <c r="I785" s="59"/>
      <c r="J785" s="59"/>
      <c r="Q785" s="11"/>
    </row>
    <row r="786" spans="1:17" s="37" customFormat="1" x14ac:dyDescent="0.25">
      <c r="A786" s="36"/>
      <c r="B786" s="336" t="s">
        <v>449</v>
      </c>
      <c r="C786" s="336"/>
      <c r="D786" s="336"/>
      <c r="E786" s="336"/>
      <c r="F786" s="336"/>
      <c r="G786" s="336"/>
      <c r="H786" s="336"/>
      <c r="I786" s="336"/>
      <c r="J786" s="336"/>
      <c r="Q786" s="11"/>
    </row>
    <row r="787" spans="1:17" s="37" customFormat="1" x14ac:dyDescent="0.25">
      <c r="A787" s="36"/>
      <c r="B787" s="336"/>
      <c r="C787" s="336"/>
      <c r="D787" s="336"/>
      <c r="E787" s="336"/>
      <c r="F787" s="336"/>
      <c r="G787" s="336"/>
      <c r="H787" s="336"/>
      <c r="I787" s="336"/>
      <c r="J787" s="336"/>
      <c r="Q787" s="11"/>
    </row>
    <row r="788" spans="1:17" s="37" customFormat="1" x14ac:dyDescent="0.25">
      <c r="A788" s="36"/>
      <c r="B788" s="59"/>
      <c r="C788" s="59"/>
      <c r="D788" s="59"/>
      <c r="E788" s="59"/>
      <c r="F788" s="59"/>
      <c r="G788" s="59"/>
      <c r="H788" s="59"/>
      <c r="I788" s="59"/>
      <c r="J788" s="59"/>
      <c r="Q788" s="11"/>
    </row>
    <row r="789" spans="1:17" s="37" customFormat="1" ht="12.75" customHeight="1" x14ac:dyDescent="0.25">
      <c r="A789" s="36"/>
      <c r="B789" s="336" t="s">
        <v>450</v>
      </c>
      <c r="C789" s="336"/>
      <c r="D789" s="336"/>
      <c r="E789" s="336"/>
      <c r="F789" s="336"/>
      <c r="G789" s="336"/>
      <c r="H789" s="336"/>
      <c r="I789" s="336"/>
      <c r="J789" s="336"/>
      <c r="Q789" s="11"/>
    </row>
    <row r="790" spans="1:17" s="37" customFormat="1" x14ac:dyDescent="0.25">
      <c r="A790" s="36"/>
      <c r="B790" s="336"/>
      <c r="C790" s="336"/>
      <c r="D790" s="336"/>
      <c r="E790" s="336"/>
      <c r="F790" s="336"/>
      <c r="G790" s="336"/>
      <c r="H790" s="336"/>
      <c r="I790" s="336"/>
      <c r="J790" s="336"/>
      <c r="Q790" s="11"/>
    </row>
    <row r="791" spans="1:17" s="37" customFormat="1" x14ac:dyDescent="0.25">
      <c r="A791" s="36"/>
      <c r="B791" s="336"/>
      <c r="C791" s="336"/>
      <c r="D791" s="336"/>
      <c r="E791" s="336"/>
      <c r="F791" s="336"/>
      <c r="G791" s="336"/>
      <c r="H791" s="336"/>
      <c r="I791" s="336"/>
      <c r="J791" s="336"/>
      <c r="Q791" s="11"/>
    </row>
    <row r="792" spans="1:17" s="37" customFormat="1" x14ac:dyDescent="0.25">
      <c r="A792" s="36"/>
      <c r="B792" s="59"/>
      <c r="C792" s="59"/>
      <c r="D792" s="59"/>
      <c r="E792" s="59"/>
      <c r="F792" s="59"/>
      <c r="G792" s="59"/>
      <c r="H792" s="59"/>
      <c r="I792" s="59"/>
      <c r="J792" s="59"/>
      <c r="Q792" s="11"/>
    </row>
    <row r="793" spans="1:17" s="37" customFormat="1" x14ac:dyDescent="0.25">
      <c r="A793" s="36"/>
      <c r="B793" s="336" t="str">
        <f>CONCATENATE("Cálculo de las acciones referidas a la unión vástago zapata del estribo, para una altura total del vástago de ",Altura_estribo-Altura_base_estribo," m.")</f>
        <v>Cálculo de las acciones referidas a la unión vástago zapata del estribo, para una altura total del vástago de 2.5 m.</v>
      </c>
      <c r="C793" s="336"/>
      <c r="D793" s="336"/>
      <c r="E793" s="336"/>
      <c r="F793" s="336"/>
      <c r="G793" s="336"/>
      <c r="H793" s="336"/>
      <c r="I793" s="336"/>
      <c r="J793" s="336"/>
      <c r="Q793" s="11"/>
    </row>
    <row r="794" spans="1:17" s="37" customFormat="1" x14ac:dyDescent="0.25">
      <c r="A794" s="36"/>
      <c r="B794" s="336"/>
      <c r="C794" s="336"/>
      <c r="D794" s="336"/>
      <c r="E794" s="336"/>
      <c r="F794" s="336"/>
      <c r="G794" s="336"/>
      <c r="H794" s="336"/>
      <c r="I794" s="336"/>
      <c r="J794" s="336"/>
      <c r="Q794" s="11"/>
    </row>
    <row r="795" spans="1:17" s="37" customFormat="1" x14ac:dyDescent="0.25">
      <c r="A795" s="36"/>
      <c r="B795" s="65"/>
      <c r="C795" s="65"/>
      <c r="D795" s="65"/>
      <c r="E795" s="65"/>
      <c r="F795" s="65"/>
      <c r="G795" s="65"/>
      <c r="H795" s="65"/>
      <c r="I795" s="65"/>
      <c r="J795" s="65"/>
      <c r="Q795" s="11"/>
    </row>
    <row r="796" spans="1:17" s="37" customFormat="1" x14ac:dyDescent="0.25">
      <c r="A796" s="36"/>
      <c r="B796" s="59" t="s">
        <v>451</v>
      </c>
      <c r="C796" s="65"/>
      <c r="D796" s="65"/>
      <c r="E796" s="65"/>
      <c r="F796" s="65"/>
      <c r="G796" s="65"/>
      <c r="H796" s="65"/>
      <c r="I796" s="65"/>
      <c r="J796" s="65"/>
      <c r="Q796" s="11"/>
    </row>
    <row r="797" spans="1:17" s="37" customFormat="1" x14ac:dyDescent="0.25">
      <c r="A797" s="36"/>
      <c r="B797" s="65"/>
      <c r="C797" s="65"/>
      <c r="D797" s="65"/>
      <c r="E797" s="65"/>
      <c r="F797" s="65"/>
      <c r="G797" s="65"/>
      <c r="H797" s="65"/>
      <c r="I797" s="65"/>
      <c r="J797" s="65"/>
      <c r="Q797" s="11"/>
    </row>
    <row r="798" spans="1:17" s="1" customFormat="1" ht="13.8" x14ac:dyDescent="0.3">
      <c r="A798" s="36" t="s">
        <v>12</v>
      </c>
      <c r="B798" s="43" t="s">
        <v>188</v>
      </c>
      <c r="C798" s="63"/>
      <c r="D798" s="43"/>
      <c r="E798" s="18"/>
      <c r="F798" s="10"/>
      <c r="G798" s="346">
        <f>0.5*k*ϒ_suelo*(Altura_estribo-Altura_base_estribo)^2</f>
        <v>20.427083333333332</v>
      </c>
      <c r="H798" s="346"/>
      <c r="I798" s="18"/>
      <c r="J798" s="10"/>
      <c r="Q798" s="11"/>
    </row>
    <row r="799" spans="1:17" s="1" customFormat="1" ht="13.8" x14ac:dyDescent="0.3">
      <c r="A799" s="36" t="s">
        <v>12</v>
      </c>
      <c r="B799" s="43" t="s">
        <v>452</v>
      </c>
      <c r="C799" s="63"/>
      <c r="D799" s="43"/>
      <c r="E799" s="18"/>
      <c r="F799" s="10"/>
      <c r="G799" s="47">
        <f>(Altura_estribo-Altura_base_estribo)/3</f>
        <v>0.83333333333333337</v>
      </c>
      <c r="H799" s="48"/>
      <c r="I799" s="18"/>
      <c r="J799" s="10"/>
      <c r="Q799" s="11"/>
    </row>
    <row r="800" spans="1:17" s="37" customFormat="1" x14ac:dyDescent="0.25">
      <c r="A800" s="36"/>
      <c r="B800" s="65"/>
      <c r="C800" s="65"/>
      <c r="D800" s="65"/>
      <c r="E800" s="65"/>
      <c r="F800" s="65"/>
      <c r="G800" s="65"/>
      <c r="H800" s="65"/>
      <c r="I800" s="65"/>
      <c r="J800" s="65"/>
      <c r="Q800" s="11"/>
    </row>
    <row r="801" spans="1:17" s="37" customFormat="1" ht="15.6" x14ac:dyDescent="0.35">
      <c r="A801" s="36"/>
      <c r="B801" s="59" t="s">
        <v>453</v>
      </c>
      <c r="C801" s="65"/>
      <c r="D801" s="65"/>
      <c r="E801" s="65"/>
      <c r="F801" s="65"/>
      <c r="G801" s="65"/>
      <c r="H801" s="65"/>
      <c r="I801" s="65"/>
      <c r="J801" s="65"/>
      <c r="Q801" s="11"/>
    </row>
    <row r="802" spans="1:17" s="37" customFormat="1" x14ac:dyDescent="0.25">
      <c r="A802" s="36"/>
      <c r="B802" s="65"/>
      <c r="C802" s="65"/>
      <c r="D802" s="65"/>
      <c r="E802" s="65"/>
      <c r="F802" s="65"/>
      <c r="G802" s="65"/>
      <c r="H802" s="65"/>
      <c r="I802" s="65"/>
      <c r="J802" s="65"/>
      <c r="Q802" s="11"/>
    </row>
    <row r="803" spans="1:17" s="1" customFormat="1" ht="15" x14ac:dyDescent="0.35">
      <c r="A803" s="36" t="s">
        <v>12</v>
      </c>
      <c r="B803" s="43" t="s">
        <v>454</v>
      </c>
      <c r="C803" s="63"/>
      <c r="D803" s="43"/>
      <c r="E803" s="18"/>
      <c r="F803" s="10"/>
      <c r="G803" s="346">
        <f>IF(I426="Rige",G426,G430)</f>
        <v>36.014544543750006</v>
      </c>
      <c r="H803" s="346"/>
      <c r="I803" s="18"/>
      <c r="J803" s="10"/>
      <c r="Q803" s="11"/>
    </row>
    <row r="804" spans="1:17" s="1" customFormat="1" ht="13.8" x14ac:dyDescent="0.3">
      <c r="A804" s="36" t="s">
        <v>12</v>
      </c>
      <c r="B804" s="43" t="s">
        <v>452</v>
      </c>
      <c r="C804" s="63"/>
      <c r="D804" s="43"/>
      <c r="E804" s="18"/>
      <c r="F804" s="10"/>
      <c r="G804" s="47">
        <f>0.4*(Altura_estribo-Altura_base_estribo)</f>
        <v>1</v>
      </c>
      <c r="H804" s="48"/>
      <c r="I804" s="18"/>
      <c r="J804" s="10"/>
      <c r="Q804" s="11"/>
    </row>
    <row r="805" spans="1:17" s="37" customFormat="1" x14ac:dyDescent="0.25">
      <c r="A805" s="36"/>
      <c r="B805" s="65"/>
      <c r="C805" s="65"/>
      <c r="D805" s="65"/>
      <c r="E805" s="65"/>
      <c r="F805" s="65"/>
      <c r="G805" s="65"/>
      <c r="H805" s="65"/>
      <c r="I805" s="65"/>
      <c r="J805" s="65"/>
      <c r="Q805" s="11"/>
    </row>
    <row r="806" spans="1:17" s="37" customFormat="1" ht="15.6" x14ac:dyDescent="0.35">
      <c r="A806" s="36"/>
      <c r="B806" s="59" t="s">
        <v>455</v>
      </c>
      <c r="C806" s="65"/>
      <c r="D806" s="65"/>
      <c r="E806" s="65"/>
      <c r="F806" s="65"/>
      <c r="G806" s="65"/>
      <c r="H806" s="65"/>
      <c r="I806" s="65"/>
      <c r="J806" s="65"/>
      <c r="Q806" s="11"/>
    </row>
    <row r="807" spans="1:17" s="37" customFormat="1" x14ac:dyDescent="0.25">
      <c r="A807" s="36"/>
      <c r="B807" s="65"/>
      <c r="C807" s="65"/>
      <c r="D807" s="65"/>
      <c r="E807" s="65"/>
      <c r="F807" s="65"/>
      <c r="G807" s="65"/>
      <c r="H807" s="65"/>
      <c r="I807" s="65"/>
      <c r="J807" s="65"/>
      <c r="Q807" s="11"/>
    </row>
    <row r="808" spans="1:17" s="1" customFormat="1" ht="15" x14ac:dyDescent="0.35">
      <c r="A808" s="36" t="s">
        <v>12</v>
      </c>
      <c r="B808" s="43" t="s">
        <v>277</v>
      </c>
      <c r="C808" s="63"/>
      <c r="D808" s="43"/>
      <c r="E808" s="18"/>
      <c r="F808" s="10"/>
      <c r="G808" s="346">
        <f>G472</f>
        <v>1.7682333333333338</v>
      </c>
      <c r="H808" s="346"/>
      <c r="I808" s="18"/>
      <c r="J808" s="10"/>
      <c r="Q808" s="11"/>
    </row>
    <row r="809" spans="1:17" s="1" customFormat="1" ht="13.8" x14ac:dyDescent="0.3">
      <c r="A809" s="36" t="s">
        <v>12</v>
      </c>
      <c r="B809" s="43" t="s">
        <v>452</v>
      </c>
      <c r="C809" s="63"/>
      <c r="D809" s="43"/>
      <c r="E809" s="18"/>
      <c r="F809" s="10"/>
      <c r="G809" s="47">
        <f>Altura_vástago_estribo</f>
        <v>1.1499999999999999</v>
      </c>
      <c r="H809" s="48"/>
      <c r="I809" s="18"/>
      <c r="J809" s="10"/>
      <c r="Q809" s="11"/>
    </row>
    <row r="810" spans="1:17" s="37" customFormat="1" x14ac:dyDescent="0.25">
      <c r="A810" s="36"/>
      <c r="B810" s="65"/>
      <c r="C810" s="65"/>
      <c r="D810" s="65"/>
      <c r="E810" s="65"/>
      <c r="F810" s="65"/>
      <c r="G810" s="65"/>
      <c r="H810" s="65"/>
      <c r="I810" s="65"/>
      <c r="J810" s="65"/>
      <c r="Q810" s="11"/>
    </row>
    <row r="811" spans="1:17" s="37" customFormat="1" x14ac:dyDescent="0.25">
      <c r="A811" s="36"/>
      <c r="B811" s="59" t="s">
        <v>456</v>
      </c>
      <c r="C811" s="65"/>
      <c r="D811" s="65"/>
      <c r="E811" s="65"/>
      <c r="F811" s="65"/>
      <c r="G811" s="65"/>
      <c r="H811" s="65"/>
      <c r="I811" s="65"/>
      <c r="J811" s="65"/>
      <c r="Q811" s="11"/>
    </row>
    <row r="812" spans="1:17" s="37" customFormat="1" x14ac:dyDescent="0.25">
      <c r="A812" s="36"/>
      <c r="B812" s="65"/>
      <c r="C812" s="65"/>
      <c r="D812" s="65"/>
      <c r="E812" s="65"/>
      <c r="F812" s="65"/>
      <c r="G812" s="65"/>
      <c r="H812" s="65"/>
      <c r="I812" s="65"/>
      <c r="J812" s="65"/>
      <c r="Q812" s="11"/>
    </row>
    <row r="813" spans="1:17" s="37" customFormat="1" x14ac:dyDescent="0.25">
      <c r="A813" s="36"/>
      <c r="B813" s="59" t="s">
        <v>457</v>
      </c>
      <c r="C813" s="65"/>
      <c r="D813" s="65"/>
      <c r="E813" s="65"/>
      <c r="F813" s="65"/>
      <c r="G813" s="65"/>
      <c r="H813" s="65"/>
      <c r="I813" s="65"/>
      <c r="J813" s="65"/>
      <c r="Q813" s="11"/>
    </row>
    <row r="814" spans="1:17" s="37" customFormat="1" x14ac:dyDescent="0.25">
      <c r="A814" s="36"/>
      <c r="B814" s="65"/>
      <c r="C814" s="65"/>
      <c r="D814" s="65"/>
      <c r="E814" s="65"/>
      <c r="F814" s="65"/>
      <c r="G814" s="65"/>
      <c r="H814" s="65"/>
      <c r="I814" s="65"/>
      <c r="J814" s="65"/>
      <c r="Q814" s="11"/>
    </row>
    <row r="815" spans="1:17" s="1" customFormat="1" ht="13.8" x14ac:dyDescent="0.3">
      <c r="A815" s="36" t="s">
        <v>12</v>
      </c>
      <c r="B815" s="43" t="s">
        <v>123</v>
      </c>
      <c r="C815" s="63"/>
      <c r="D815" s="43"/>
      <c r="E815" s="18"/>
      <c r="F815" s="10"/>
      <c r="G815" s="347">
        <f>BR</f>
        <v>0</v>
      </c>
      <c r="H815" s="347"/>
      <c r="I815" s="18"/>
      <c r="J815" s="10"/>
      <c r="Q815" s="11"/>
    </row>
    <row r="816" spans="1:17" s="37" customFormat="1" x14ac:dyDescent="0.25">
      <c r="A816" s="36"/>
      <c r="B816" s="65"/>
      <c r="C816" s="65"/>
      <c r="D816" s="65"/>
      <c r="E816" s="65"/>
      <c r="F816" s="65"/>
      <c r="G816" s="65"/>
      <c r="H816" s="65"/>
      <c r="I816" s="65"/>
      <c r="J816" s="65"/>
      <c r="Q816" s="11"/>
    </row>
    <row r="817" spans="1:17" s="37" customFormat="1" x14ac:dyDescent="0.25">
      <c r="A817" s="36"/>
      <c r="B817" s="59" t="s">
        <v>458</v>
      </c>
      <c r="C817" s="65"/>
      <c r="D817" s="65"/>
      <c r="E817" s="65"/>
      <c r="F817" s="65"/>
      <c r="G817" s="65"/>
      <c r="H817" s="65"/>
      <c r="I817" s="65"/>
      <c r="J817" s="65"/>
      <c r="Q817" s="11"/>
    </row>
    <row r="818" spans="1:17" s="37" customFormat="1" x14ac:dyDescent="0.25">
      <c r="A818" s="36"/>
      <c r="B818" s="65"/>
      <c r="C818" s="65"/>
      <c r="D818" s="65"/>
      <c r="E818" s="65"/>
      <c r="F818" s="65"/>
      <c r="G818" s="65"/>
      <c r="H818" s="65"/>
      <c r="I818" s="65"/>
      <c r="J818" s="65"/>
      <c r="Q818" s="11"/>
    </row>
    <row r="819" spans="1:17" s="1" customFormat="1" ht="13.8" x14ac:dyDescent="0.3">
      <c r="A819" s="36" t="s">
        <v>12</v>
      </c>
      <c r="B819" s="43" t="s">
        <v>452</v>
      </c>
      <c r="C819" s="63"/>
      <c r="D819" s="43"/>
      <c r="E819" s="18"/>
      <c r="F819" s="10"/>
      <c r="G819" s="47">
        <f>Altura_vástago_estribo+1.8</f>
        <v>2.95</v>
      </c>
      <c r="H819" s="48"/>
      <c r="I819" s="18"/>
      <c r="J819" s="10"/>
      <c r="Q819" s="11"/>
    </row>
    <row r="820" spans="1:17" s="1" customFormat="1" ht="13.8" x14ac:dyDescent="0.3">
      <c r="A820" s="36"/>
      <c r="B820" s="27"/>
      <c r="C820" s="63"/>
      <c r="D820" s="43"/>
      <c r="E820" s="18"/>
      <c r="F820" s="10"/>
      <c r="G820" s="47"/>
      <c r="H820" s="48"/>
      <c r="I820" s="18"/>
      <c r="J820" s="10"/>
      <c r="Q820" s="11"/>
    </row>
    <row r="821" spans="1:17" s="1" customFormat="1" ht="13.8" x14ac:dyDescent="0.3">
      <c r="A821" s="36"/>
      <c r="B821" s="27" t="s">
        <v>459</v>
      </c>
      <c r="C821" s="63"/>
      <c r="D821" s="43"/>
      <c r="E821" s="18"/>
      <c r="F821" s="10"/>
      <c r="G821" s="47"/>
      <c r="H821" s="48"/>
      <c r="I821" s="18"/>
      <c r="J821" s="10"/>
      <c r="Q821" s="11"/>
    </row>
    <row r="822" spans="1:17" s="1" customFormat="1" ht="13.8" x14ac:dyDescent="0.3">
      <c r="A822" s="36"/>
      <c r="B822" s="27"/>
      <c r="C822" s="63"/>
      <c r="D822" s="43"/>
      <c r="E822" s="18"/>
      <c r="F822" s="10"/>
      <c r="G822" s="47"/>
      <c r="H822" s="48"/>
      <c r="I822" s="18"/>
      <c r="J822" s="10"/>
      <c r="Q822" s="11"/>
    </row>
    <row r="823" spans="1:17" s="37" customFormat="1" x14ac:dyDescent="0.25">
      <c r="A823" s="36" t="s">
        <v>12</v>
      </c>
      <c r="B823" s="27" t="s">
        <v>150</v>
      </c>
      <c r="C823" s="27"/>
      <c r="D823" s="27"/>
      <c r="E823" s="27"/>
      <c r="F823" s="27"/>
      <c r="G823" s="347">
        <f>Δp</f>
        <v>5.883</v>
      </c>
      <c r="H823" s="347"/>
      <c r="I823" s="27"/>
      <c r="J823" s="27"/>
      <c r="Q823" s="35"/>
    </row>
    <row r="824" spans="1:17" s="37" customFormat="1" x14ac:dyDescent="0.25">
      <c r="A824" s="36" t="s">
        <v>12</v>
      </c>
      <c r="B824" s="27" t="s">
        <v>181</v>
      </c>
      <c r="C824" s="27"/>
      <c r="D824" s="27"/>
      <c r="E824" s="27"/>
      <c r="F824" s="27"/>
      <c r="G824" s="347">
        <f>G823*(Altura_estribo-Altura_base_estribo)</f>
        <v>14.7075</v>
      </c>
      <c r="H824" s="347"/>
      <c r="I824" s="27"/>
      <c r="J824" s="27"/>
      <c r="Q824" s="35"/>
    </row>
    <row r="825" spans="1:17" s="1" customFormat="1" ht="13.8" x14ac:dyDescent="0.3">
      <c r="A825" s="36" t="s">
        <v>12</v>
      </c>
      <c r="B825" s="43" t="s">
        <v>452</v>
      </c>
      <c r="C825" s="63"/>
      <c r="D825" s="43"/>
      <c r="E825" s="18"/>
      <c r="F825" s="10"/>
      <c r="G825" s="47">
        <f>(Altura_estribo-Altura_base_estribo)/2</f>
        <v>1.25</v>
      </c>
      <c r="H825" s="48"/>
      <c r="I825" s="18"/>
      <c r="J825" s="10"/>
      <c r="Q825" s="11"/>
    </row>
    <row r="826" spans="1:17" s="1" customFormat="1" ht="13.8" x14ac:dyDescent="0.3">
      <c r="A826" s="36"/>
      <c r="B826" s="27"/>
      <c r="C826" s="63"/>
      <c r="D826" s="43"/>
      <c r="E826" s="18"/>
      <c r="F826" s="10"/>
      <c r="G826" s="47"/>
      <c r="H826" s="48"/>
      <c r="I826" s="18"/>
      <c r="J826" s="10"/>
      <c r="Q826" s="11"/>
    </row>
    <row r="827" spans="1:17" s="1" customFormat="1" ht="13.8" x14ac:dyDescent="0.3">
      <c r="A827" s="36"/>
      <c r="B827" s="27" t="s">
        <v>460</v>
      </c>
      <c r="C827" s="63"/>
      <c r="D827" s="43"/>
      <c r="E827" s="18"/>
      <c r="F827" s="10"/>
      <c r="G827" s="47"/>
      <c r="H827" s="48"/>
      <c r="I827" s="18"/>
      <c r="J827" s="10"/>
      <c r="Q827" s="11"/>
    </row>
    <row r="828" spans="1:17" s="1" customFormat="1" x14ac:dyDescent="0.25">
      <c r="A828" s="36"/>
      <c r="B828" s="207" t="s">
        <v>315</v>
      </c>
      <c r="C828" s="207" t="s">
        <v>320</v>
      </c>
      <c r="D828" s="207" t="s">
        <v>452</v>
      </c>
      <c r="E828" s="207" t="s">
        <v>461</v>
      </c>
      <c r="F828" s="27"/>
      <c r="G828" s="27"/>
      <c r="H828" s="27"/>
      <c r="I828" s="27"/>
      <c r="J828" s="27"/>
      <c r="Q828" s="11"/>
    </row>
    <row r="829" spans="1:17" s="1" customFormat="1" x14ac:dyDescent="0.25">
      <c r="A829" s="36"/>
      <c r="B829" s="207" t="s">
        <v>188</v>
      </c>
      <c r="C829" s="223">
        <f>G798</f>
        <v>20.427083333333332</v>
      </c>
      <c r="D829" s="223">
        <f>G799</f>
        <v>0.83333333333333337</v>
      </c>
      <c r="E829" s="223">
        <f>C829*D829</f>
        <v>17.022569444444443</v>
      </c>
      <c r="F829" s="27"/>
      <c r="G829" s="27"/>
      <c r="H829" s="27"/>
      <c r="I829" s="27"/>
      <c r="J829" s="27"/>
      <c r="Q829" s="11"/>
    </row>
    <row r="830" spans="1:17" s="1" customFormat="1" ht="15.6" x14ac:dyDescent="0.35">
      <c r="A830" s="36"/>
      <c r="B830" s="207" t="s">
        <v>198</v>
      </c>
      <c r="C830" s="223">
        <f>G803</f>
        <v>36.014544543750006</v>
      </c>
      <c r="D830" s="223">
        <f>G804</f>
        <v>1</v>
      </c>
      <c r="E830" s="223">
        <f t="shared" ref="E830:E833" si="20">C830*D830</f>
        <v>36.014544543750006</v>
      </c>
      <c r="F830" s="27"/>
      <c r="G830" s="27"/>
      <c r="H830" s="27"/>
      <c r="I830" s="27"/>
      <c r="J830" s="27"/>
      <c r="Q830" s="11"/>
    </row>
    <row r="831" spans="1:17" s="1" customFormat="1" ht="15.6" x14ac:dyDescent="0.35">
      <c r="A831" s="36"/>
      <c r="B831" s="207" t="s">
        <v>288</v>
      </c>
      <c r="C831" s="223">
        <f>G808</f>
        <v>1.7682333333333338</v>
      </c>
      <c r="D831" s="223">
        <f>G809</f>
        <v>1.1499999999999999</v>
      </c>
      <c r="E831" s="223">
        <f t="shared" si="20"/>
        <v>2.0334683333333339</v>
      </c>
      <c r="F831" s="27"/>
      <c r="G831" s="27"/>
      <c r="H831" s="27"/>
      <c r="I831" s="27"/>
      <c r="J831" s="27"/>
      <c r="Q831" s="11"/>
    </row>
    <row r="832" spans="1:17" s="1" customFormat="1" x14ac:dyDescent="0.25">
      <c r="A832" s="36"/>
      <c r="B832" s="207" t="s">
        <v>123</v>
      </c>
      <c r="C832" s="223">
        <f>G815</f>
        <v>0</v>
      </c>
      <c r="D832" s="223">
        <f>G819</f>
        <v>2.95</v>
      </c>
      <c r="E832" s="223">
        <f t="shared" si="20"/>
        <v>0</v>
      </c>
      <c r="F832" s="27"/>
      <c r="G832" s="27"/>
      <c r="H832" s="27"/>
      <c r="I832" s="27"/>
      <c r="J832" s="27"/>
      <c r="Q832" s="11"/>
    </row>
    <row r="833" spans="1:17" s="1" customFormat="1" x14ac:dyDescent="0.25">
      <c r="A833" s="36"/>
      <c r="B833" s="207" t="s">
        <v>181</v>
      </c>
      <c r="C833" s="223">
        <f>G824</f>
        <v>14.7075</v>
      </c>
      <c r="D833" s="223">
        <f>G825</f>
        <v>1.25</v>
      </c>
      <c r="E833" s="223">
        <f t="shared" si="20"/>
        <v>18.384374999999999</v>
      </c>
      <c r="F833" s="27"/>
      <c r="G833" s="27"/>
      <c r="H833" s="27"/>
      <c r="I833" s="27"/>
      <c r="J833" s="27"/>
      <c r="Q833" s="11"/>
    </row>
    <row r="834" spans="1:17" s="1" customFormat="1" x14ac:dyDescent="0.25">
      <c r="A834" s="36"/>
      <c r="B834" s="27"/>
      <c r="C834" s="27"/>
      <c r="D834" s="27"/>
      <c r="E834" s="27"/>
      <c r="F834" s="27"/>
      <c r="G834" s="27"/>
      <c r="H834" s="27"/>
      <c r="I834" s="27"/>
      <c r="J834" s="27"/>
      <c r="Q834" s="11"/>
    </row>
    <row r="835" spans="1:17" s="1" customFormat="1" x14ac:dyDescent="0.25">
      <c r="A835" s="36"/>
      <c r="B835" s="27" t="s">
        <v>462</v>
      </c>
      <c r="C835" s="27"/>
      <c r="D835" s="27"/>
      <c r="E835" s="27"/>
      <c r="F835" s="27"/>
      <c r="G835" s="27"/>
      <c r="H835" s="27"/>
      <c r="I835" s="27"/>
      <c r="J835" s="27"/>
      <c r="Q835" s="11"/>
    </row>
    <row r="836" spans="1:17" s="1" customFormat="1" x14ac:dyDescent="0.25">
      <c r="A836" s="36"/>
      <c r="B836" s="27"/>
      <c r="C836" s="27"/>
      <c r="D836" s="27"/>
      <c r="E836" s="27"/>
      <c r="F836" s="27"/>
      <c r="G836" s="27"/>
      <c r="H836" s="27"/>
      <c r="I836" s="27"/>
      <c r="J836" s="27"/>
      <c r="Q836" s="11"/>
    </row>
    <row r="837" spans="1:17" s="1" customFormat="1" x14ac:dyDescent="0.25">
      <c r="A837" s="36"/>
      <c r="B837" s="336" t="s">
        <v>463</v>
      </c>
      <c r="C837" s="336"/>
      <c r="D837" s="336"/>
      <c r="E837" s="336"/>
      <c r="F837" s="336"/>
      <c r="G837" s="336"/>
      <c r="H837" s="336"/>
      <c r="I837" s="336"/>
      <c r="J837" s="336"/>
      <c r="Q837" s="11"/>
    </row>
    <row r="838" spans="1:17" s="1" customFormat="1" x14ac:dyDescent="0.25">
      <c r="A838" s="36"/>
      <c r="B838" s="336"/>
      <c r="C838" s="336"/>
      <c r="D838" s="336"/>
      <c r="E838" s="336"/>
      <c r="F838" s="336"/>
      <c r="G838" s="336"/>
      <c r="H838" s="336"/>
      <c r="I838" s="336"/>
      <c r="J838" s="336"/>
      <c r="Q838" s="11"/>
    </row>
    <row r="839" spans="1:17" s="1" customFormat="1" x14ac:dyDescent="0.25">
      <c r="A839" s="36"/>
      <c r="B839" s="27"/>
      <c r="C839" s="27"/>
      <c r="D839" s="27"/>
      <c r="E839" s="27"/>
      <c r="F839" s="27"/>
      <c r="G839" s="27"/>
      <c r="H839" s="27"/>
      <c r="I839" s="27"/>
      <c r="J839" s="27"/>
      <c r="Q839" s="11"/>
    </row>
    <row r="840" spans="1:17" s="1" customFormat="1" ht="15" x14ac:dyDescent="0.35">
      <c r="A840" s="36" t="s">
        <v>12</v>
      </c>
      <c r="B840" s="43" t="s">
        <v>464</v>
      </c>
      <c r="C840" s="63"/>
      <c r="D840" s="43"/>
      <c r="E840" s="18"/>
      <c r="F840" s="10"/>
      <c r="G840" s="47"/>
      <c r="H840" s="48"/>
      <c r="I840" s="18"/>
      <c r="J840" s="10"/>
      <c r="Q840" s="11"/>
    </row>
    <row r="841" spans="1:17" s="1" customFormat="1" x14ac:dyDescent="0.25">
      <c r="A841" s="36"/>
      <c r="B841" s="27"/>
      <c r="C841" s="27"/>
      <c r="D841" s="27"/>
      <c r="E841" s="27"/>
      <c r="F841" s="27"/>
      <c r="G841" s="27"/>
      <c r="H841" s="27"/>
      <c r="I841" s="27"/>
      <c r="J841" s="27"/>
      <c r="Q841" s="11"/>
    </row>
    <row r="842" spans="1:17" s="1" customFormat="1" x14ac:dyDescent="0.25">
      <c r="A842" s="36"/>
      <c r="B842" s="27" t="s">
        <v>465</v>
      </c>
      <c r="C842" s="27"/>
      <c r="D842" s="27"/>
      <c r="E842" s="27"/>
      <c r="F842" s="27"/>
      <c r="G842" s="27"/>
      <c r="H842" s="27"/>
      <c r="I842" s="27"/>
      <c r="J842" s="27"/>
      <c r="Q842" s="11"/>
    </row>
    <row r="843" spans="1:17" s="1" customFormat="1" x14ac:dyDescent="0.25">
      <c r="A843" s="36"/>
      <c r="B843" s="27"/>
      <c r="C843" s="27"/>
      <c r="D843" s="27"/>
      <c r="E843" s="27"/>
      <c r="F843" s="27"/>
      <c r="G843" s="27"/>
      <c r="H843" s="27"/>
      <c r="I843" s="27"/>
      <c r="J843" s="27"/>
      <c r="Q843" s="11"/>
    </row>
    <row r="844" spans="1:17" s="1" customFormat="1" ht="15" x14ac:dyDescent="0.35">
      <c r="A844" s="36" t="s">
        <v>12</v>
      </c>
      <c r="B844" s="192" t="s">
        <v>466</v>
      </c>
      <c r="C844" s="224"/>
      <c r="D844" s="225"/>
      <c r="E844" s="226"/>
      <c r="F844" s="164"/>
      <c r="G844" s="332">
        <f>1.5*E829+(E830+E831)</f>
        <v>63.581867043750002</v>
      </c>
      <c r="H844" s="333"/>
      <c r="I844" s="18"/>
      <c r="J844" s="10"/>
    </row>
    <row r="845" spans="1:17" s="1" customFormat="1" x14ac:dyDescent="0.25">
      <c r="A845" s="36"/>
      <c r="B845" s="336" t="s">
        <v>477</v>
      </c>
      <c r="C845" s="336"/>
      <c r="D845" s="336"/>
      <c r="E845" s="336"/>
      <c r="F845" s="336"/>
      <c r="G845" s="336"/>
      <c r="H845" s="336"/>
      <c r="I845" s="336"/>
      <c r="J845" s="336"/>
    </row>
    <row r="846" spans="1:17" s="1" customFormat="1" x14ac:dyDescent="0.25">
      <c r="A846" s="36"/>
      <c r="B846" s="336"/>
      <c r="C846" s="336"/>
      <c r="D846" s="336"/>
      <c r="E846" s="336"/>
      <c r="F846" s="336"/>
      <c r="G846" s="336"/>
      <c r="H846" s="336"/>
      <c r="I846" s="336"/>
      <c r="J846" s="336"/>
    </row>
    <row r="847" spans="1:17" s="1" customFormat="1" x14ac:dyDescent="0.25">
      <c r="A847" s="36"/>
      <c r="B847" s="27"/>
      <c r="C847" s="27"/>
      <c r="D847" s="27"/>
      <c r="E847" s="27"/>
      <c r="F847" s="27"/>
      <c r="G847" s="27"/>
      <c r="H847" s="27"/>
      <c r="I847" s="27"/>
      <c r="J847" s="27"/>
    </row>
    <row r="848" spans="1:17" s="1" customFormat="1" ht="15" x14ac:dyDescent="0.35">
      <c r="A848" s="36" t="s">
        <v>12</v>
      </c>
      <c r="B848" s="43" t="s">
        <v>466</v>
      </c>
      <c r="C848" s="63"/>
      <c r="D848" s="43"/>
      <c r="E848" s="18"/>
      <c r="F848" s="10"/>
      <c r="G848" s="339">
        <f>1.5*E829+1.75*(E832+E833)</f>
        <v>57.70651041666666</v>
      </c>
      <c r="H848" s="339"/>
      <c r="I848" s="18"/>
      <c r="J848" s="10"/>
    </row>
    <row r="849" spans="1:17" s="1" customFormat="1" x14ac:dyDescent="0.25">
      <c r="A849" s="36"/>
      <c r="B849" s="27"/>
      <c r="C849" s="27"/>
      <c r="D849" s="27"/>
      <c r="E849" s="27"/>
      <c r="F849" s="27"/>
      <c r="G849" s="27"/>
      <c r="H849" s="27" t="str">
        <f>IF(G848&lt;I849,"&lt;","&gt;")</f>
        <v>&lt;</v>
      </c>
      <c r="I849" s="345">
        <f>G844</f>
        <v>63.581867043750002</v>
      </c>
      <c r="J849" s="345"/>
      <c r="Q849" s="11"/>
    </row>
    <row r="850" spans="1:17" s="1" customFormat="1" x14ac:dyDescent="0.25">
      <c r="I850" s="27"/>
      <c r="J850" s="27"/>
      <c r="Q850" s="11"/>
    </row>
    <row r="851" spans="1:17" s="1" customFormat="1" x14ac:dyDescent="0.25">
      <c r="A851" s="36"/>
      <c r="B851" s="27" t="str">
        <f>CONCATENATE("Para un espesor del vástago de ",Espesor_vástago_estribo," m y recubrimiento de 8 cm, se tiene")</f>
        <v>Para un espesor del vástago de 0.5 m y recubrimiento de 8 cm, se tiene</v>
      </c>
      <c r="C851" s="27"/>
      <c r="D851" s="27"/>
      <c r="E851" s="27"/>
      <c r="F851" s="27"/>
      <c r="G851" s="27"/>
      <c r="H851" s="27"/>
      <c r="I851" s="27"/>
      <c r="J851" s="27"/>
      <c r="Q851" s="11"/>
    </row>
    <row r="852" spans="1:17" s="1" customFormat="1" x14ac:dyDescent="0.25">
      <c r="A852" s="36"/>
      <c r="B852" s="27"/>
      <c r="C852" s="27"/>
      <c r="D852" s="27"/>
      <c r="E852" s="27"/>
      <c r="F852" s="27"/>
      <c r="G852" s="27"/>
      <c r="H852" s="27"/>
      <c r="I852" s="27"/>
      <c r="J852" s="27"/>
      <c r="Q852" s="11"/>
    </row>
    <row r="853" spans="1:17" s="1" customFormat="1" ht="13.8" x14ac:dyDescent="0.25">
      <c r="A853" s="36"/>
      <c r="B853" s="27" t="s">
        <v>467</v>
      </c>
      <c r="C853" s="27"/>
      <c r="D853" s="27"/>
      <c r="E853" s="27"/>
      <c r="F853" s="27"/>
      <c r="G853" s="27"/>
      <c r="H853" s="27"/>
      <c r="I853" s="27"/>
      <c r="J853" s="27"/>
      <c r="L853" s="66" t="s">
        <v>34</v>
      </c>
      <c r="M853" s="1">
        <v>0.9</v>
      </c>
      <c r="Q853" s="11"/>
    </row>
    <row r="854" spans="1:17" s="1" customFormat="1" ht="15.6" x14ac:dyDescent="0.35">
      <c r="A854" s="36"/>
      <c r="B854" s="207" t="s">
        <v>468</v>
      </c>
      <c r="C854" s="223">
        <f>MAX(G848,I849)</f>
        <v>63.581867043750002</v>
      </c>
      <c r="D854" s="27"/>
      <c r="E854" s="27"/>
      <c r="F854" s="27"/>
      <c r="G854" s="27"/>
      <c r="H854" s="27"/>
      <c r="I854" s="27"/>
      <c r="J854" s="27"/>
      <c r="L854" s="1" t="s">
        <v>474</v>
      </c>
      <c r="M854" s="1">
        <v>420000</v>
      </c>
      <c r="Q854" s="11"/>
    </row>
    <row r="855" spans="1:17" s="1" customFormat="1" x14ac:dyDescent="0.25">
      <c r="A855" s="36"/>
      <c r="B855" s="207" t="s">
        <v>469</v>
      </c>
      <c r="C855" s="207">
        <v>1</v>
      </c>
      <c r="D855" s="27"/>
      <c r="E855" s="27"/>
      <c r="F855" s="27"/>
      <c r="G855" s="27"/>
      <c r="H855" s="27"/>
      <c r="I855" s="27"/>
      <c r="J855" s="27"/>
      <c r="L855" s="1" t="s">
        <v>475</v>
      </c>
      <c r="M855" s="67">
        <f>E7*1000</f>
        <v>21100</v>
      </c>
      <c r="Q855" s="11"/>
    </row>
    <row r="856" spans="1:17" s="1" customFormat="1" x14ac:dyDescent="0.25">
      <c r="A856" s="36"/>
      <c r="B856" s="207" t="s">
        <v>470</v>
      </c>
      <c r="C856" s="207">
        <f>Espesor_vástago_estribo-0.08</f>
        <v>0.42</v>
      </c>
      <c r="D856" s="27"/>
      <c r="E856" s="27"/>
      <c r="F856" s="27"/>
      <c r="G856" s="27"/>
      <c r="H856" s="27"/>
      <c r="I856" s="27"/>
      <c r="J856" s="27"/>
      <c r="Q856" s="11"/>
    </row>
    <row r="857" spans="1:17" s="1" customFormat="1" x14ac:dyDescent="0.25">
      <c r="A857" s="36"/>
      <c r="B857" s="207" t="s">
        <v>471</v>
      </c>
      <c r="C857" s="207">
        <f>C854/(C855*C856^2)</f>
        <v>360.44142315051027</v>
      </c>
      <c r="D857" s="27"/>
      <c r="E857" s="27"/>
      <c r="F857" s="27"/>
      <c r="G857" s="27"/>
      <c r="H857" s="27"/>
      <c r="I857" s="27"/>
      <c r="J857" s="27"/>
      <c r="L857" s="1" t="s">
        <v>5</v>
      </c>
      <c r="M857" s="1">
        <f>M853*0.59*M854^2/M855</f>
        <v>4439260.6635071086</v>
      </c>
      <c r="Q857" s="11"/>
    </row>
    <row r="858" spans="1:17" s="1" customFormat="1" x14ac:dyDescent="0.25">
      <c r="A858" s="36"/>
      <c r="B858" s="207" t="s">
        <v>472</v>
      </c>
      <c r="C858" s="227">
        <f>(-M858-SQRT(M858^2-4*M857*C857))/(2*M857)</f>
        <v>9.6447317777970066E-4</v>
      </c>
      <c r="D858" s="27"/>
      <c r="E858" s="27"/>
      <c r="F858" s="27"/>
      <c r="G858" s="27"/>
      <c r="H858" s="27"/>
      <c r="I858" s="27"/>
      <c r="J858" s="27"/>
      <c r="L858" s="1" t="s">
        <v>4</v>
      </c>
      <c r="M858" s="1">
        <f>-(M853*M854)</f>
        <v>-378000</v>
      </c>
      <c r="Q858" s="11"/>
    </row>
    <row r="859" spans="1:17" s="1" customFormat="1" ht="15.6" x14ac:dyDescent="0.35">
      <c r="A859" s="36"/>
      <c r="B859" s="207" t="s">
        <v>473</v>
      </c>
      <c r="C859" s="207">
        <f>C858*C855*C856*10000</f>
        <v>4.0507873466747428</v>
      </c>
      <c r="D859" s="27"/>
      <c r="E859" s="27"/>
      <c r="F859" s="27"/>
      <c r="G859" s="27"/>
      <c r="H859" s="27"/>
      <c r="I859" s="27"/>
      <c r="J859" s="27"/>
      <c r="Q859" s="11"/>
    </row>
    <row r="860" spans="1:17" s="1" customFormat="1" x14ac:dyDescent="0.25">
      <c r="A860" s="36"/>
      <c r="B860" s="207" t="str">
        <f>CONCATENATE("#",K862)</f>
        <v>#6</v>
      </c>
      <c r="C860" s="207">
        <f>C859/(L862*0.01)</f>
        <v>1.4263335727727968</v>
      </c>
      <c r="D860" s="27"/>
      <c r="E860" s="27"/>
      <c r="F860" s="27"/>
      <c r="G860" s="27"/>
      <c r="H860" s="27"/>
      <c r="I860" s="27"/>
      <c r="J860" s="27"/>
      <c r="N860" s="1" t="s">
        <v>582</v>
      </c>
      <c r="O860" s="1" t="s">
        <v>583</v>
      </c>
      <c r="Q860" s="11"/>
    </row>
    <row r="861" spans="1:17" s="1" customFormat="1" x14ac:dyDescent="0.25">
      <c r="A861" s="36"/>
      <c r="B861" s="27" t="s">
        <v>476</v>
      </c>
      <c r="C861" s="27">
        <f>100/C860</f>
        <v>70.109826977990636</v>
      </c>
      <c r="D861" s="27"/>
      <c r="E861" s="27"/>
      <c r="F861" s="27"/>
      <c r="G861" s="27"/>
      <c r="H861" s="27"/>
      <c r="I861" s="27"/>
      <c r="J861" s="27"/>
      <c r="K861" s="1" t="s">
        <v>584</v>
      </c>
      <c r="L861" s="1" t="s">
        <v>583</v>
      </c>
      <c r="N861" s="1">
        <v>3</v>
      </c>
      <c r="O861" s="1">
        <v>71</v>
      </c>
      <c r="Q861" s="11"/>
    </row>
    <row r="862" spans="1:17" s="1" customFormat="1" x14ac:dyDescent="0.25">
      <c r="A862" s="36"/>
      <c r="B862" s="27"/>
      <c r="C862" s="27"/>
      <c r="D862" s="27"/>
      <c r="E862" s="27"/>
      <c r="F862" s="27"/>
      <c r="G862" s="27"/>
      <c r="H862" s="27"/>
      <c r="I862" s="27"/>
      <c r="J862" s="27"/>
      <c r="K862" s="1">
        <v>6</v>
      </c>
      <c r="L862" s="1">
        <f>VLOOKUP(K862,$N$861:$O$866,2,FALSE)</f>
        <v>284</v>
      </c>
      <c r="N862" s="1">
        <v>4</v>
      </c>
      <c r="O862" s="1">
        <v>129</v>
      </c>
      <c r="Q862" s="11"/>
    </row>
    <row r="863" spans="1:17" s="1" customFormat="1" x14ac:dyDescent="0.25">
      <c r="A863" s="36"/>
      <c r="B863" s="27" t="str">
        <f>CONCATENATE("Se proyecta 1#",K862," cada ",ROUNDDOWN(C861/100,2)," en la cara interior del vástago.")</f>
        <v>Se proyecta 1#6 cada 0.7 en la cara interior del vástago.</v>
      </c>
      <c r="C863" s="27"/>
      <c r="D863" s="27"/>
      <c r="E863" s="27"/>
      <c r="F863" s="27"/>
      <c r="G863" s="27"/>
      <c r="H863" s="27"/>
      <c r="I863" s="27"/>
      <c r="J863" s="27"/>
      <c r="N863" s="1">
        <v>5</v>
      </c>
      <c r="O863" s="1">
        <v>199</v>
      </c>
      <c r="Q863" s="11"/>
    </row>
    <row r="864" spans="1:17" s="1" customFormat="1" x14ac:dyDescent="0.3">
      <c r="N864" s="1">
        <v>6</v>
      </c>
      <c r="O864" s="1">
        <v>284</v>
      </c>
      <c r="Q864" s="11"/>
    </row>
    <row r="865" spans="1:17" s="1" customFormat="1" x14ac:dyDescent="0.25">
      <c r="A865" s="68">
        <f>2</f>
        <v>2</v>
      </c>
      <c r="B865" s="27" t="s">
        <v>478</v>
      </c>
      <c r="C865" s="37"/>
      <c r="D865" s="10"/>
      <c r="E865" s="10"/>
      <c r="F865" s="10"/>
      <c r="G865" s="45"/>
      <c r="H865" s="45"/>
      <c r="I865" s="18"/>
      <c r="J865" s="10"/>
      <c r="N865" s="1">
        <v>7</v>
      </c>
      <c r="O865" s="1">
        <v>387</v>
      </c>
      <c r="Q865" s="11"/>
    </row>
    <row r="866" spans="1:17" s="1" customFormat="1" x14ac:dyDescent="0.25">
      <c r="A866" s="36"/>
      <c r="B866" s="27"/>
      <c r="C866" s="27"/>
      <c r="D866" s="27"/>
      <c r="E866" s="27"/>
      <c r="F866" s="27"/>
      <c r="G866" s="27"/>
      <c r="H866" s="27"/>
      <c r="I866" s="27"/>
      <c r="J866" s="27"/>
      <c r="N866" s="1">
        <v>8</v>
      </c>
      <c r="O866" s="1">
        <v>510</v>
      </c>
      <c r="Q866" s="11"/>
    </row>
    <row r="867" spans="1:17" s="1" customFormat="1" ht="15.6" x14ac:dyDescent="0.35">
      <c r="A867" s="36"/>
      <c r="B867" s="27" t="s">
        <v>479</v>
      </c>
      <c r="C867" s="27"/>
      <c r="D867" s="27"/>
      <c r="E867" s="27"/>
      <c r="F867" s="27"/>
      <c r="G867" s="27"/>
      <c r="H867" s="27"/>
      <c r="I867" s="27"/>
      <c r="J867" s="27"/>
      <c r="Q867" s="11"/>
    </row>
    <row r="868" spans="1:17" s="1" customFormat="1" x14ac:dyDescent="0.25">
      <c r="A868" s="36"/>
      <c r="B868" s="27"/>
      <c r="C868" s="27"/>
      <c r="D868" s="27"/>
      <c r="E868" s="27"/>
      <c r="F868" s="27"/>
      <c r="G868" s="27"/>
      <c r="H868" s="27"/>
      <c r="I868" s="27"/>
      <c r="J868" s="27"/>
      <c r="Q868" s="11"/>
    </row>
    <row r="869" spans="1:17" s="1" customFormat="1" x14ac:dyDescent="0.25">
      <c r="A869" s="36"/>
      <c r="B869" s="27" t="s">
        <v>480</v>
      </c>
      <c r="C869" s="27"/>
      <c r="D869" s="27"/>
      <c r="E869" s="27"/>
      <c r="F869" s="27"/>
      <c r="G869" s="27"/>
      <c r="H869" s="27"/>
      <c r="I869" s="27"/>
      <c r="J869" s="27"/>
      <c r="Q869" s="11"/>
    </row>
    <row r="870" spans="1:17" s="1" customFormat="1" x14ac:dyDescent="0.25">
      <c r="A870" s="36"/>
      <c r="B870" s="27"/>
      <c r="C870" s="27"/>
      <c r="D870" s="27"/>
      <c r="E870" s="27"/>
      <c r="F870" s="27"/>
      <c r="G870" s="27"/>
      <c r="H870" s="27"/>
      <c r="I870" s="27"/>
      <c r="J870" s="27"/>
      <c r="Q870" s="11"/>
    </row>
    <row r="871" spans="1:17" s="1" customFormat="1" ht="15" x14ac:dyDescent="0.35">
      <c r="A871" s="36" t="s">
        <v>12</v>
      </c>
      <c r="B871" s="230" t="s">
        <v>481</v>
      </c>
      <c r="C871" s="228"/>
      <c r="D871" s="73"/>
      <c r="E871" s="75"/>
      <c r="F871" s="121"/>
      <c r="G871" s="326">
        <f>0.6*SQRT(E7)*1000</f>
        <v>2756.0841786854044</v>
      </c>
      <c r="H871" s="327"/>
      <c r="I871" s="18"/>
      <c r="J871" s="10"/>
      <c r="Q871" s="11"/>
    </row>
    <row r="872" spans="1:17" s="1" customFormat="1" ht="15" x14ac:dyDescent="0.35">
      <c r="A872" s="36" t="s">
        <v>12</v>
      </c>
      <c r="B872" s="231" t="s">
        <v>482</v>
      </c>
      <c r="C872" s="229" t="s">
        <v>483</v>
      </c>
      <c r="D872" s="74"/>
      <c r="E872" s="124"/>
      <c r="F872" s="136"/>
      <c r="G872" s="342">
        <f>1*Espesor_vástago_estribo^2/6</f>
        <v>4.1666666666666664E-2</v>
      </c>
      <c r="H872" s="343"/>
      <c r="I872" s="18"/>
      <c r="J872" s="10"/>
      <c r="Q872" s="11"/>
    </row>
    <row r="873" spans="1:17" s="1" customFormat="1" ht="15.6" x14ac:dyDescent="0.35">
      <c r="A873" s="36" t="s">
        <v>12</v>
      </c>
      <c r="B873" s="232" t="s">
        <v>484</v>
      </c>
      <c r="C873" s="168"/>
      <c r="D873" s="168"/>
      <c r="E873" s="168"/>
      <c r="F873" s="168"/>
      <c r="G873" s="168">
        <v>0.75</v>
      </c>
      <c r="H873" s="169"/>
      <c r="I873" s="27"/>
      <c r="J873" s="27"/>
      <c r="Q873" s="11"/>
    </row>
    <row r="874" spans="1:17" s="1" customFormat="1" ht="15.6" x14ac:dyDescent="0.35">
      <c r="A874" s="36" t="s">
        <v>12</v>
      </c>
      <c r="B874" s="232" t="s">
        <v>485</v>
      </c>
      <c r="C874" s="168"/>
      <c r="D874" s="168"/>
      <c r="E874" s="168"/>
      <c r="F874" s="168"/>
      <c r="G874" s="168">
        <v>1.6</v>
      </c>
      <c r="H874" s="169"/>
      <c r="I874" s="27"/>
      <c r="J874" s="27"/>
      <c r="Q874" s="11"/>
    </row>
    <row r="875" spans="1:17" s="1" customFormat="1" x14ac:dyDescent="0.25">
      <c r="A875" s="36"/>
      <c r="B875" s="232"/>
      <c r="C875" s="168"/>
      <c r="D875" s="168"/>
      <c r="E875" s="168"/>
      <c r="F875" s="168"/>
      <c r="G875" s="168"/>
      <c r="H875" s="169"/>
      <c r="I875" s="27"/>
      <c r="J875" s="27"/>
      <c r="Q875" s="11"/>
    </row>
    <row r="876" spans="1:17" s="1" customFormat="1" ht="15.6" x14ac:dyDescent="0.35">
      <c r="A876" s="36" t="s">
        <v>12</v>
      </c>
      <c r="B876" s="233" t="s">
        <v>486</v>
      </c>
      <c r="C876" s="171"/>
      <c r="D876" s="171"/>
      <c r="E876" s="171"/>
      <c r="F876" s="171"/>
      <c r="G876" s="330">
        <f>G873*(G874^2*G871*G872)</f>
        <v>220.48673429483239</v>
      </c>
      <c r="H876" s="331" t="str">
        <f>IF(G875&lt;I876,"&lt;","&gt;")</f>
        <v>&gt;</v>
      </c>
      <c r="I876" s="27"/>
      <c r="J876" s="27"/>
      <c r="Q876" s="11"/>
    </row>
    <row r="877" spans="1:17" s="1" customFormat="1" x14ac:dyDescent="0.25">
      <c r="A877" s="36"/>
      <c r="B877" s="27"/>
      <c r="C877" s="27"/>
      <c r="D877" s="27"/>
      <c r="E877" s="27"/>
      <c r="F877" s="27"/>
      <c r="G877" s="27"/>
      <c r="H877" s="27" t="str">
        <f>IF(G876&lt;I877,"&lt;","&gt;")</f>
        <v>&gt;</v>
      </c>
      <c r="I877" s="314">
        <f>C854</f>
        <v>63.581867043750002</v>
      </c>
      <c r="J877" s="314"/>
      <c r="Q877" s="11"/>
    </row>
    <row r="878" spans="1:17" s="1" customFormat="1" x14ac:dyDescent="0.25">
      <c r="A878" s="36"/>
      <c r="B878" s="27"/>
      <c r="C878" s="27"/>
      <c r="D878" s="27"/>
      <c r="E878" s="27"/>
      <c r="F878" s="27"/>
      <c r="G878" s="27"/>
      <c r="H878" s="27"/>
      <c r="I878" s="27"/>
      <c r="J878" s="27"/>
      <c r="Q878" s="11"/>
    </row>
    <row r="879" spans="1:17" s="1" customFormat="1" x14ac:dyDescent="0.25">
      <c r="A879" s="68">
        <f>A865+1</f>
        <v>3</v>
      </c>
      <c r="B879" s="27" t="s">
        <v>487</v>
      </c>
      <c r="C879" s="37"/>
      <c r="D879" s="10"/>
      <c r="E879" s="10"/>
      <c r="F879" s="10"/>
      <c r="G879" s="45"/>
      <c r="H879" s="45"/>
      <c r="I879" s="18"/>
      <c r="J879" s="10"/>
      <c r="Q879" s="11"/>
    </row>
    <row r="880" spans="1:17" s="1" customFormat="1" x14ac:dyDescent="0.25">
      <c r="A880" s="36"/>
      <c r="B880" s="27"/>
      <c r="C880" s="27"/>
      <c r="D880" s="27"/>
      <c r="E880" s="27"/>
      <c r="F880" s="27"/>
      <c r="G880" s="27"/>
      <c r="H880" s="27"/>
      <c r="I880" s="27"/>
      <c r="J880" s="27"/>
      <c r="Q880" s="11"/>
    </row>
    <row r="881" spans="1:17" s="1" customFormat="1" x14ac:dyDescent="0.25">
      <c r="A881" s="36"/>
      <c r="B881" s="27" t="s">
        <v>488</v>
      </c>
      <c r="C881" s="27"/>
      <c r="D881" s="27"/>
      <c r="E881" s="27"/>
      <c r="F881" s="27"/>
      <c r="G881" s="27"/>
      <c r="H881" s="27"/>
      <c r="I881" s="27"/>
      <c r="J881" s="27"/>
      <c r="Q881" s="11"/>
    </row>
    <row r="882" spans="1:17" s="1" customFormat="1" x14ac:dyDescent="0.25">
      <c r="A882" s="36"/>
      <c r="B882" s="27"/>
      <c r="C882" s="27"/>
      <c r="D882" s="27"/>
      <c r="E882" s="27"/>
      <c r="F882" s="27"/>
      <c r="G882" s="27"/>
      <c r="H882" s="27"/>
      <c r="I882" s="27"/>
      <c r="J882" s="27"/>
      <c r="Q882" s="11"/>
    </row>
    <row r="883" spans="1:17" s="1" customFormat="1" x14ac:dyDescent="0.25">
      <c r="A883" s="36"/>
      <c r="B883" s="336" t="s">
        <v>489</v>
      </c>
      <c r="C883" s="336"/>
      <c r="D883" s="336"/>
      <c r="E883" s="336"/>
      <c r="F883" s="336"/>
      <c r="G883" s="336"/>
      <c r="H883" s="336"/>
      <c r="I883" s="336"/>
      <c r="J883" s="336"/>
      <c r="Q883" s="11"/>
    </row>
    <row r="884" spans="1:17" s="1" customFormat="1" x14ac:dyDescent="0.25">
      <c r="A884" s="36"/>
      <c r="B884" s="336"/>
      <c r="C884" s="336"/>
      <c r="D884" s="336"/>
      <c r="E884" s="336"/>
      <c r="F884" s="336"/>
      <c r="G884" s="336"/>
      <c r="H884" s="336"/>
      <c r="I884" s="336"/>
      <c r="J884" s="336"/>
      <c r="Q884" s="11"/>
    </row>
    <row r="885" spans="1:17" s="1" customFormat="1" x14ac:dyDescent="0.25">
      <c r="A885" s="36"/>
      <c r="B885" s="336"/>
      <c r="C885" s="336"/>
      <c r="D885" s="336"/>
      <c r="E885" s="336"/>
      <c r="F885" s="336"/>
      <c r="G885" s="336"/>
      <c r="H885" s="336"/>
      <c r="I885" s="336"/>
      <c r="J885" s="336"/>
      <c r="Q885" s="11"/>
    </row>
    <row r="886" spans="1:17" s="1" customFormat="1" x14ac:dyDescent="0.25">
      <c r="A886" s="36"/>
      <c r="B886" s="27"/>
      <c r="C886" s="27"/>
      <c r="D886" s="27"/>
      <c r="E886" s="27"/>
      <c r="F886" s="27"/>
      <c r="G886" s="27"/>
      <c r="H886" s="27"/>
      <c r="I886" s="27"/>
      <c r="J886" s="27"/>
      <c r="Q886" s="11"/>
    </row>
    <row r="887" spans="1:17" s="1" customFormat="1" ht="15.6" x14ac:dyDescent="0.35">
      <c r="A887" s="36"/>
      <c r="B887" s="344">
        <v>234</v>
      </c>
      <c r="C887" s="344"/>
      <c r="D887" s="27" t="s">
        <v>490</v>
      </c>
      <c r="E887" s="27" t="s">
        <v>491</v>
      </c>
      <c r="F887" s="27" t="s">
        <v>490</v>
      </c>
      <c r="G887" s="344">
        <v>1278</v>
      </c>
      <c r="H887" s="344"/>
      <c r="I887" s="27"/>
      <c r="J887" s="27"/>
      <c r="Q887" s="11"/>
    </row>
    <row r="888" spans="1:17" s="1" customFormat="1" ht="13.8" x14ac:dyDescent="0.3">
      <c r="A888" s="36"/>
      <c r="B888" s="27"/>
      <c r="C888" s="63"/>
      <c r="D888" s="43"/>
      <c r="E888" s="18"/>
      <c r="F888" s="10"/>
      <c r="G888" s="47"/>
      <c r="H888" s="48"/>
      <c r="I888" s="18"/>
      <c r="J888" s="10"/>
      <c r="Q888" s="11"/>
    </row>
    <row r="889" spans="1:17" s="1" customFormat="1" ht="15.6" x14ac:dyDescent="0.35">
      <c r="A889" s="36" t="s">
        <v>12</v>
      </c>
      <c r="B889" s="27" t="s">
        <v>491</v>
      </c>
      <c r="C889" s="27"/>
      <c r="D889" s="27"/>
      <c r="E889" s="27"/>
      <c r="F889" s="27"/>
      <c r="G889" s="69" t="s">
        <v>492</v>
      </c>
      <c r="H889" s="69" t="s">
        <v>493</v>
      </c>
      <c r="I889" s="27"/>
      <c r="J889" s="27"/>
      <c r="Q889" s="11"/>
    </row>
    <row r="890" spans="1:17" s="1" customFormat="1" ht="15.6" x14ac:dyDescent="0.3">
      <c r="A890" s="36"/>
      <c r="B890" s="27"/>
      <c r="C890" s="63"/>
      <c r="D890" s="43"/>
      <c r="E890" s="18"/>
      <c r="F890" s="10"/>
      <c r="G890" s="70" t="s">
        <v>494</v>
      </c>
      <c r="H890" s="48"/>
      <c r="I890" s="18"/>
      <c r="J890" s="10"/>
      <c r="Q890" s="11"/>
    </row>
    <row r="891" spans="1:17" s="1" customFormat="1" ht="13.8" x14ac:dyDescent="0.3">
      <c r="A891" s="36"/>
      <c r="B891" s="27"/>
      <c r="C891" s="63"/>
      <c r="D891" s="43"/>
      <c r="E891" s="18"/>
      <c r="F891" s="10"/>
      <c r="G891" s="47"/>
      <c r="H891" s="48"/>
      <c r="I891" s="18"/>
      <c r="J891" s="10"/>
      <c r="Q891" s="11"/>
    </row>
    <row r="892" spans="1:17" s="1" customFormat="1" ht="15.6" x14ac:dyDescent="0.35">
      <c r="A892" s="36"/>
      <c r="B892" s="27" t="s">
        <v>495</v>
      </c>
      <c r="C892" s="63"/>
      <c r="D892" s="43"/>
      <c r="E892" s="18"/>
      <c r="F892" s="10"/>
      <c r="G892" s="47"/>
      <c r="H892" s="48"/>
      <c r="I892" s="18"/>
      <c r="J892" s="10"/>
      <c r="Q892" s="11"/>
    </row>
    <row r="893" spans="1:17" s="1" customFormat="1" ht="13.8" x14ac:dyDescent="0.3">
      <c r="A893" s="36"/>
      <c r="B893" s="27"/>
      <c r="C893" s="63"/>
      <c r="D893" s="43"/>
      <c r="E893" s="18"/>
      <c r="F893" s="10"/>
      <c r="G893" s="47"/>
      <c r="H893" s="48"/>
      <c r="I893" s="18"/>
      <c r="J893" s="10"/>
      <c r="Q893" s="11"/>
    </row>
    <row r="894" spans="1:17" s="1" customFormat="1" ht="13.8" x14ac:dyDescent="0.3">
      <c r="A894" s="36"/>
      <c r="B894" s="27" t="s">
        <v>496</v>
      </c>
      <c r="C894" s="63"/>
      <c r="D894" s="43"/>
      <c r="E894" s="18"/>
      <c r="F894" s="10"/>
      <c r="G894" s="47"/>
      <c r="H894" s="48"/>
      <c r="I894" s="18"/>
      <c r="J894" s="10"/>
      <c r="Q894" s="11"/>
    </row>
    <row r="895" spans="1:17" s="1" customFormat="1" ht="13.8" x14ac:dyDescent="0.3">
      <c r="A895" s="36"/>
      <c r="B895" s="27"/>
      <c r="C895" s="63"/>
      <c r="D895" s="43"/>
      <c r="E895" s="18"/>
      <c r="F895" s="10"/>
      <c r="G895" s="47"/>
      <c r="H895" s="48"/>
      <c r="I895" s="18"/>
      <c r="J895" s="10"/>
      <c r="N895" s="1" t="s">
        <v>582</v>
      </c>
      <c r="O895" s="1" t="s">
        <v>583</v>
      </c>
      <c r="Q895" s="11"/>
    </row>
    <row r="896" spans="1:17" s="1" customFormat="1" ht="15.6" x14ac:dyDescent="0.35">
      <c r="A896" s="36" t="s">
        <v>12</v>
      </c>
      <c r="B896" s="174" t="s">
        <v>491</v>
      </c>
      <c r="C896" s="175"/>
      <c r="D896" s="175"/>
      <c r="E896" s="175"/>
      <c r="F896" s="175"/>
      <c r="G896" s="312">
        <f>750*Largo_estribo*Espesor_vástago_estribo*1000/(2*(Largo_estribo+Espesor_vástago_estribo)*420)</f>
        <v>382.65306122448982</v>
      </c>
      <c r="H896" s="313"/>
      <c r="I896" s="27"/>
      <c r="J896" s="27"/>
      <c r="K896" s="1" t="s">
        <v>584</v>
      </c>
      <c r="L896" s="1" t="s">
        <v>583</v>
      </c>
      <c r="N896" s="1">
        <v>3</v>
      </c>
      <c r="O896" s="1">
        <v>71</v>
      </c>
      <c r="Q896" s="11"/>
    </row>
    <row r="897" spans="1:17" s="1" customFormat="1" ht="13.8" x14ac:dyDescent="0.3">
      <c r="A897" s="36"/>
      <c r="B897" s="27"/>
      <c r="C897" s="63"/>
      <c r="D897" s="43"/>
      <c r="E897" s="18"/>
      <c r="F897" s="10"/>
      <c r="G897" s="47"/>
      <c r="H897" s="48"/>
      <c r="I897" s="18"/>
      <c r="J897" s="10"/>
      <c r="K897" s="1">
        <v>4</v>
      </c>
      <c r="L897" s="37">
        <f>VLOOKUP(K897,$N$896:$O$901,2,FALSE)</f>
        <v>129</v>
      </c>
      <c r="N897" s="1">
        <v>4</v>
      </c>
      <c r="O897" s="1">
        <v>129</v>
      </c>
      <c r="Q897" s="11"/>
    </row>
    <row r="898" spans="1:17" s="1" customFormat="1" ht="13.8" x14ac:dyDescent="0.3">
      <c r="A898" s="36"/>
      <c r="B898" s="27" t="str">
        <f>CONCATENATE("Se proyectan 1#",K897," cada ",ROUND(1/(G896/L897),3)," m (",ROUNDUP(G896/L897,0),"*",L897," mm²=",ROUNDUP(G896/L897,0)*L897,"mm² &gt; ",ROUND(G896,2)," mm²).")</f>
        <v>Se proyectan 1#4 cada 0.337 m (3*129 mm²=387mm² &gt; 382.65 mm²).</v>
      </c>
      <c r="C898" s="63"/>
      <c r="D898" s="43"/>
      <c r="E898" s="18"/>
      <c r="F898" s="10"/>
      <c r="G898" s="47"/>
      <c r="H898" s="48"/>
      <c r="I898" s="18"/>
      <c r="J898" s="10"/>
      <c r="K898" s="1" t="s">
        <v>588</v>
      </c>
      <c r="L898" s="1">
        <f>MIN(ROUNDDOWN(100*L897/G896/5,0)*5,25)</f>
        <v>25</v>
      </c>
      <c r="N898" s="1">
        <v>5</v>
      </c>
      <c r="O898" s="1">
        <v>199</v>
      </c>
      <c r="Q898" s="11"/>
    </row>
    <row r="899" spans="1:17" s="1" customFormat="1" ht="13.8" x14ac:dyDescent="0.3">
      <c r="A899" s="36"/>
      <c r="B899" s="27"/>
      <c r="C899" s="63"/>
      <c r="D899" s="43"/>
      <c r="E899" s="18"/>
      <c r="F899" s="10"/>
      <c r="G899" s="47"/>
      <c r="H899" s="48"/>
      <c r="I899" s="18"/>
      <c r="J899" s="10"/>
      <c r="N899" s="1">
        <v>6</v>
      </c>
      <c r="O899" s="1">
        <v>284</v>
      </c>
      <c r="Q899" s="11"/>
    </row>
    <row r="900" spans="1:17" s="1" customFormat="1" x14ac:dyDescent="0.25">
      <c r="A900" s="68">
        <f>A879+1</f>
        <v>4</v>
      </c>
      <c r="B900" s="27" t="s">
        <v>497</v>
      </c>
      <c r="C900" s="37"/>
      <c r="D900" s="10"/>
      <c r="E900" s="10"/>
      <c r="F900" s="10"/>
      <c r="G900" s="45"/>
      <c r="H900" s="45"/>
      <c r="I900" s="18"/>
      <c r="J900" s="10"/>
      <c r="N900" s="1">
        <v>7</v>
      </c>
      <c r="O900" s="1">
        <v>387</v>
      </c>
      <c r="Q900" s="11"/>
    </row>
    <row r="901" spans="1:17" s="1" customFormat="1" ht="13.8" x14ac:dyDescent="0.3">
      <c r="A901" s="36"/>
      <c r="B901" s="27"/>
      <c r="C901" s="63"/>
      <c r="D901" s="43"/>
      <c r="E901" s="18"/>
      <c r="F901" s="10"/>
      <c r="G901" s="47"/>
      <c r="H901" s="48"/>
      <c r="I901" s="18"/>
      <c r="J901" s="10"/>
      <c r="N901" s="1">
        <v>8</v>
      </c>
      <c r="O901" s="1">
        <v>510</v>
      </c>
      <c r="Q901" s="11"/>
    </row>
    <row r="902" spans="1:17" s="1" customFormat="1" x14ac:dyDescent="0.25">
      <c r="A902" s="36"/>
      <c r="B902" s="336" t="s">
        <v>498</v>
      </c>
      <c r="C902" s="336"/>
      <c r="D902" s="336"/>
      <c r="E902" s="336"/>
      <c r="F902" s="336"/>
      <c r="G902" s="336"/>
      <c r="H902" s="336"/>
      <c r="I902" s="336"/>
      <c r="J902" s="336"/>
      <c r="Q902" s="11"/>
    </row>
    <row r="903" spans="1:17" s="1" customFormat="1" x14ac:dyDescent="0.25">
      <c r="A903" s="36"/>
      <c r="B903" s="336"/>
      <c r="C903" s="336"/>
      <c r="D903" s="336"/>
      <c r="E903" s="336"/>
      <c r="F903" s="336"/>
      <c r="G903" s="336"/>
      <c r="H903" s="336"/>
      <c r="I903" s="336"/>
      <c r="J903" s="336"/>
      <c r="Q903" s="11"/>
    </row>
    <row r="904" spans="1:17" s="1" customFormat="1" ht="13.8" x14ac:dyDescent="0.3">
      <c r="A904" s="36"/>
      <c r="B904" s="43"/>
      <c r="C904" s="63"/>
      <c r="D904" s="43"/>
      <c r="E904" s="18"/>
      <c r="F904" s="10"/>
      <c r="G904" s="47"/>
      <c r="H904" s="48"/>
      <c r="I904" s="18"/>
      <c r="J904" s="10"/>
      <c r="Q904" s="11"/>
    </row>
    <row r="905" spans="1:17" s="1" customFormat="1" ht="15" x14ac:dyDescent="0.35">
      <c r="A905" s="36" t="s">
        <v>12</v>
      </c>
      <c r="B905" s="27" t="s">
        <v>499</v>
      </c>
      <c r="C905" s="27" t="s">
        <v>490</v>
      </c>
      <c r="D905" s="27" t="s">
        <v>500</v>
      </c>
      <c r="E905" s="84" t="s">
        <v>585</v>
      </c>
      <c r="F905" s="27"/>
      <c r="G905" s="71"/>
      <c r="H905" s="72" t="s">
        <v>501</v>
      </c>
      <c r="I905" s="27"/>
      <c r="J905" s="27"/>
      <c r="Q905" s="11"/>
    </row>
    <row r="906" spans="1:17" s="1" customFormat="1" ht="15" x14ac:dyDescent="0.35">
      <c r="A906" s="36"/>
      <c r="B906" s="43"/>
      <c r="C906" s="63"/>
      <c r="D906" s="73" t="s">
        <v>502</v>
      </c>
      <c r="E906" s="18"/>
      <c r="F906" s="10"/>
      <c r="G906" s="47"/>
      <c r="H906" s="48"/>
      <c r="I906" s="18"/>
      <c r="J906" s="10"/>
      <c r="Q906" s="11"/>
    </row>
    <row r="907" spans="1:17" s="1" customFormat="1" ht="13.8" x14ac:dyDescent="0.3">
      <c r="A907" s="36"/>
      <c r="B907" s="43"/>
      <c r="C907" s="63"/>
      <c r="D907" s="43"/>
      <c r="E907" s="18"/>
      <c r="F907" s="10"/>
      <c r="G907" s="47"/>
      <c r="H907" s="48"/>
      <c r="I907" s="18"/>
      <c r="J907" s="10"/>
      <c r="Q907" s="11"/>
    </row>
    <row r="908" spans="1:17" s="1" customFormat="1" ht="13.8" x14ac:dyDescent="0.3">
      <c r="A908" s="36"/>
      <c r="B908" s="27" t="s">
        <v>503</v>
      </c>
      <c r="C908" s="63"/>
      <c r="D908" s="43"/>
      <c r="E908" s="18"/>
      <c r="F908" s="10"/>
      <c r="G908" s="47"/>
      <c r="H908" s="48"/>
      <c r="I908" s="18"/>
      <c r="J908" s="10"/>
      <c r="Q908" s="11"/>
    </row>
    <row r="909" spans="1:17" s="1" customFormat="1" ht="13.8" x14ac:dyDescent="0.3">
      <c r="A909" s="36"/>
      <c r="B909" s="43"/>
      <c r="C909" s="63"/>
      <c r="D909" s="43"/>
      <c r="E909" s="18"/>
      <c r="F909" s="10"/>
      <c r="G909" s="47"/>
      <c r="H909" s="48"/>
      <c r="I909" s="18"/>
      <c r="J909" s="10"/>
      <c r="Q909" s="11"/>
    </row>
    <row r="910" spans="1:17" s="1" customFormat="1" ht="15.6" x14ac:dyDescent="0.35">
      <c r="A910" s="36" t="s">
        <v>12</v>
      </c>
      <c r="B910" s="74" t="s">
        <v>504</v>
      </c>
      <c r="C910" s="27" t="s">
        <v>505</v>
      </c>
      <c r="D910" s="27" t="s">
        <v>506</v>
      </c>
      <c r="E910" s="27" t="s">
        <v>507</v>
      </c>
      <c r="F910" s="27"/>
      <c r="G910" s="71"/>
      <c r="H910" s="72" t="s">
        <v>501</v>
      </c>
      <c r="I910" s="27"/>
      <c r="J910" s="27"/>
      <c r="Q910" s="11"/>
    </row>
    <row r="911" spans="1:17" s="1" customFormat="1" ht="15.6" x14ac:dyDescent="0.3">
      <c r="A911" s="36"/>
      <c r="B911" s="43"/>
      <c r="C911" s="63"/>
      <c r="D911" s="43"/>
      <c r="E911" s="75" t="s">
        <v>508</v>
      </c>
      <c r="F911" s="10"/>
      <c r="G911" s="47"/>
      <c r="H911" s="48"/>
      <c r="I911" s="18"/>
      <c r="J911" s="10"/>
      <c r="Q911" s="11"/>
    </row>
    <row r="912" spans="1:17" s="1" customFormat="1" ht="13.8" x14ac:dyDescent="0.3">
      <c r="A912" s="36"/>
      <c r="B912" s="43"/>
      <c r="C912" s="63"/>
      <c r="D912" s="43"/>
      <c r="E912" s="18"/>
      <c r="F912" s="10"/>
      <c r="G912" s="47"/>
      <c r="H912" s="48"/>
      <c r="I912" s="18"/>
      <c r="J912" s="10"/>
      <c r="Q912" s="11"/>
    </row>
    <row r="913" spans="1:17" s="1" customFormat="1" ht="15" x14ac:dyDescent="0.35">
      <c r="A913" s="36" t="s">
        <v>12</v>
      </c>
      <c r="B913" s="43" t="s">
        <v>509</v>
      </c>
      <c r="C913" s="27" t="s">
        <v>510</v>
      </c>
      <c r="D913" s="27"/>
      <c r="E913" s="27"/>
      <c r="F913" s="27"/>
      <c r="G913" s="71"/>
      <c r="H913" s="72"/>
      <c r="I913" s="27"/>
      <c r="J913" s="27"/>
      <c r="Q913" s="11"/>
    </row>
    <row r="914" spans="1:17" s="1" customFormat="1" ht="14.25" customHeight="1" x14ac:dyDescent="0.35">
      <c r="A914" s="36" t="s">
        <v>12</v>
      </c>
      <c r="B914" s="43" t="s">
        <v>511</v>
      </c>
      <c r="C914" s="336" t="s">
        <v>512</v>
      </c>
      <c r="D914" s="336"/>
      <c r="E914" s="336"/>
      <c r="F914" s="336"/>
      <c r="G914" s="336"/>
      <c r="H914" s="336"/>
      <c r="I914" s="336"/>
      <c r="J914" s="336"/>
      <c r="Q914" s="11"/>
    </row>
    <row r="915" spans="1:17" s="1" customFormat="1" ht="13.8" x14ac:dyDescent="0.3">
      <c r="A915" s="36"/>
      <c r="B915" s="43"/>
      <c r="C915" s="336"/>
      <c r="D915" s="336"/>
      <c r="E915" s="336"/>
      <c r="F915" s="336"/>
      <c r="G915" s="336"/>
      <c r="H915" s="336"/>
      <c r="I915" s="336"/>
      <c r="J915" s="336"/>
      <c r="Q915" s="11"/>
    </row>
    <row r="916" spans="1:17" s="1" customFormat="1" ht="15" x14ac:dyDescent="0.35">
      <c r="A916" s="36" t="s">
        <v>12</v>
      </c>
      <c r="B916" s="43" t="s">
        <v>513</v>
      </c>
      <c r="C916" s="27" t="s">
        <v>514</v>
      </c>
      <c r="D916" s="27"/>
      <c r="E916" s="27"/>
      <c r="F916" s="27"/>
      <c r="G916" s="71"/>
      <c r="H916" s="72"/>
      <c r="I916" s="27"/>
      <c r="J916" s="27"/>
      <c r="Q916" s="11"/>
    </row>
    <row r="917" spans="1:17" s="1" customFormat="1" ht="13.8" x14ac:dyDescent="0.3">
      <c r="A917" s="36" t="s">
        <v>12</v>
      </c>
      <c r="B917" s="43" t="s">
        <v>2</v>
      </c>
      <c r="C917" s="27" t="s">
        <v>515</v>
      </c>
      <c r="D917" s="27"/>
      <c r="E917" s="27"/>
      <c r="F917" s="27"/>
      <c r="G917" s="71"/>
      <c r="H917" s="72"/>
      <c r="I917" s="27"/>
      <c r="J917" s="27"/>
      <c r="Q917" s="11"/>
    </row>
    <row r="918" spans="1:17" s="1" customFormat="1" ht="13.8" x14ac:dyDescent="0.3">
      <c r="A918" s="36"/>
      <c r="B918" s="43"/>
      <c r="C918" s="63"/>
      <c r="D918" s="43"/>
      <c r="E918" s="18"/>
      <c r="F918" s="10"/>
      <c r="G918" s="47"/>
      <c r="H918" s="48"/>
      <c r="I918" s="18"/>
      <c r="J918" s="10"/>
      <c r="Q918" s="11"/>
    </row>
    <row r="919" spans="1:17" s="1" customFormat="1" ht="13.8" x14ac:dyDescent="0.3">
      <c r="A919" s="36"/>
      <c r="B919" s="27" t="s">
        <v>516</v>
      </c>
      <c r="C919" s="63"/>
      <c r="D919" s="43"/>
      <c r="E919" s="18"/>
      <c r="F919" s="10"/>
      <c r="G919" s="47"/>
      <c r="H919" s="48"/>
      <c r="I919" s="18"/>
      <c r="J919" s="10"/>
      <c r="Q919" s="11"/>
    </row>
    <row r="920" spans="1:17" s="1" customFormat="1" ht="13.8" x14ac:dyDescent="0.3">
      <c r="A920" s="36"/>
      <c r="B920" s="43"/>
      <c r="C920" s="63"/>
      <c r="D920" s="43"/>
      <c r="E920" s="18"/>
      <c r="F920" s="10"/>
      <c r="G920" s="47"/>
      <c r="H920" s="48"/>
      <c r="I920" s="18"/>
      <c r="J920" s="10"/>
      <c r="Q920" s="11"/>
    </row>
    <row r="921" spans="1:17" s="1" customFormat="1" ht="15" x14ac:dyDescent="0.35">
      <c r="A921" s="36" t="s">
        <v>12</v>
      </c>
      <c r="B921" s="43" t="s">
        <v>517</v>
      </c>
      <c r="C921" s="63" t="s">
        <v>518</v>
      </c>
      <c r="D921" s="43"/>
      <c r="E921" s="18"/>
      <c r="F921" s="10"/>
      <c r="G921" s="47"/>
      <c r="H921" s="48"/>
      <c r="I921" s="18"/>
      <c r="J921" s="10"/>
      <c r="Q921" s="11"/>
    </row>
    <row r="922" spans="1:17" s="1" customFormat="1" ht="13.8" x14ac:dyDescent="0.3">
      <c r="A922" s="36"/>
      <c r="B922" s="43"/>
      <c r="C922" s="63"/>
      <c r="D922" s="43"/>
      <c r="E922" s="18"/>
      <c r="F922" s="10"/>
      <c r="G922" s="47"/>
      <c r="H922" s="48"/>
      <c r="I922" s="18"/>
      <c r="J922" s="10"/>
      <c r="Q922" s="11"/>
    </row>
    <row r="923" spans="1:17" s="1" customFormat="1" ht="13.8" x14ac:dyDescent="0.3">
      <c r="A923" s="36"/>
      <c r="B923" s="27" t="s">
        <v>516</v>
      </c>
      <c r="C923" s="63"/>
      <c r="D923" s="43"/>
      <c r="E923" s="18"/>
      <c r="F923" s="10"/>
      <c r="G923" s="47"/>
      <c r="H923" s="48"/>
      <c r="I923" s="18"/>
      <c r="J923" s="10"/>
      <c r="Q923" s="11"/>
    </row>
    <row r="924" spans="1:17" s="1" customFormat="1" ht="13.8" x14ac:dyDescent="0.3">
      <c r="A924" s="36"/>
      <c r="B924" s="27"/>
      <c r="C924" s="63"/>
      <c r="D924" s="43"/>
      <c r="E924" s="18"/>
      <c r="F924" s="10"/>
      <c r="G924" s="47"/>
      <c r="H924" s="48"/>
      <c r="I924" s="18"/>
      <c r="J924" s="10"/>
      <c r="Q924" s="11"/>
    </row>
    <row r="925" spans="1:17" s="1" customFormat="1" ht="15" x14ac:dyDescent="0.35">
      <c r="A925" s="36" t="s">
        <v>12</v>
      </c>
      <c r="B925" s="43" t="s">
        <v>517</v>
      </c>
      <c r="C925" s="63"/>
      <c r="D925" s="43"/>
      <c r="E925" s="18"/>
      <c r="F925" s="10"/>
      <c r="G925" s="339">
        <f>E829+E832+E833</f>
        <v>35.406944444444441</v>
      </c>
      <c r="H925" s="339"/>
      <c r="I925" s="18"/>
      <c r="J925" s="10"/>
      <c r="Q925" s="11"/>
    </row>
    <row r="926" spans="1:17" s="1" customFormat="1" ht="13.8" x14ac:dyDescent="0.3">
      <c r="A926" s="36" t="s">
        <v>12</v>
      </c>
      <c r="B926" s="43" t="s">
        <v>519</v>
      </c>
      <c r="C926" s="63"/>
      <c r="D926" s="43"/>
      <c r="E926" s="18"/>
      <c r="F926" s="10"/>
      <c r="G926" s="340">
        <f>200000/(4800*SQRT(E7))</f>
        <v>9.0708405038355853</v>
      </c>
      <c r="H926" s="340"/>
      <c r="I926" s="18"/>
      <c r="J926" s="10"/>
      <c r="Q926" s="11"/>
    </row>
    <row r="927" spans="1:17" s="1" customFormat="1" ht="13.8" x14ac:dyDescent="0.3">
      <c r="A927" s="36"/>
      <c r="B927" s="27"/>
      <c r="C927" s="63"/>
      <c r="D927" s="43"/>
      <c r="E927" s="18"/>
      <c r="F927" s="10"/>
      <c r="G927" s="47"/>
      <c r="H927" s="48"/>
      <c r="I927" s="18"/>
      <c r="J927" s="10"/>
      <c r="Q927" s="11"/>
    </row>
    <row r="928" spans="1:17" s="1" customFormat="1" ht="13.8" x14ac:dyDescent="0.3">
      <c r="A928" s="36"/>
      <c r="B928" s="27" t="s">
        <v>520</v>
      </c>
      <c r="C928" s="63"/>
      <c r="D928" s="43"/>
      <c r="E928" s="18"/>
      <c r="F928" s="10"/>
      <c r="G928" s="47"/>
      <c r="H928" s="48"/>
      <c r="I928" s="18"/>
      <c r="J928" s="10"/>
      <c r="Q928" s="11"/>
    </row>
    <row r="929" spans="1:17" s="1" customFormat="1" ht="13.8" x14ac:dyDescent="0.3">
      <c r="A929" s="36"/>
      <c r="B929" s="27" t="s">
        <v>521</v>
      </c>
      <c r="C929" s="63"/>
      <c r="D929" s="43"/>
      <c r="E929" s="18"/>
      <c r="F929" s="10"/>
      <c r="G929" s="47"/>
      <c r="H929" s="48"/>
      <c r="I929" s="18"/>
      <c r="J929" s="10"/>
      <c r="Q929" s="11"/>
    </row>
    <row r="930" spans="1:17" s="1" customFormat="1" ht="13.8" x14ac:dyDescent="0.3">
      <c r="A930" s="36"/>
      <c r="B930" s="27"/>
      <c r="C930" s="63"/>
      <c r="D930" s="43"/>
      <c r="E930" s="18"/>
      <c r="F930" s="10"/>
      <c r="G930" s="47"/>
      <c r="H930" s="48"/>
      <c r="I930" s="18"/>
      <c r="J930" s="10"/>
      <c r="Q930" s="11"/>
    </row>
    <row r="931" spans="1:17" s="1" customFormat="1" ht="15" x14ac:dyDescent="0.35">
      <c r="A931" s="36" t="s">
        <v>12</v>
      </c>
      <c r="B931" s="43" t="s">
        <v>522</v>
      </c>
      <c r="C931" s="63"/>
      <c r="D931" s="43"/>
      <c r="E931" s="18"/>
      <c r="F931" s="10"/>
      <c r="G931" s="341">
        <f>G926*C859/10000</f>
        <v>3.6744045936641938E-3</v>
      </c>
      <c r="H931" s="341"/>
      <c r="I931" s="18"/>
      <c r="J931" s="10"/>
      <c r="Q931" s="11"/>
    </row>
    <row r="932" spans="1:17" s="1" customFormat="1" ht="13.8" x14ac:dyDescent="0.3">
      <c r="A932" s="36"/>
      <c r="B932" s="27"/>
      <c r="C932" s="63"/>
      <c r="D932" s="43"/>
      <c r="E932" s="18"/>
      <c r="F932" s="10"/>
      <c r="G932" s="47"/>
      <c r="H932" s="48"/>
      <c r="I932" s="18"/>
      <c r="J932" s="10"/>
      <c r="Q932" s="11"/>
    </row>
    <row r="933" spans="1:17" s="1" customFormat="1" ht="13.8" x14ac:dyDescent="0.3">
      <c r="A933" s="36"/>
      <c r="B933" s="27" t="s">
        <v>523</v>
      </c>
      <c r="C933" s="63"/>
      <c r="D933" s="43"/>
      <c r="E933" s="18"/>
      <c r="F933" s="10"/>
      <c r="G933" s="47"/>
      <c r="H933" s="48"/>
      <c r="I933" s="18"/>
      <c r="J933" s="10"/>
      <c r="Q933" s="11"/>
    </row>
    <row r="934" spans="1:17" s="1" customFormat="1" ht="13.8" x14ac:dyDescent="0.3">
      <c r="A934" s="36"/>
      <c r="B934" s="27"/>
      <c r="C934" s="63"/>
      <c r="D934" s="43"/>
      <c r="E934" s="18"/>
      <c r="F934" s="10"/>
      <c r="G934" s="47"/>
      <c r="H934" s="48"/>
      <c r="I934" s="18"/>
      <c r="J934" s="10"/>
      <c r="Q934" s="11"/>
    </row>
    <row r="935" spans="1:17" s="1" customFormat="1" ht="13.8" x14ac:dyDescent="0.3">
      <c r="A935" s="36" t="s">
        <v>12</v>
      </c>
      <c r="B935" s="43" t="s">
        <v>524</v>
      </c>
      <c r="C935" s="63"/>
      <c r="D935" s="43"/>
      <c r="E935" s="18"/>
      <c r="F935" s="10"/>
      <c r="G935" s="337">
        <f>(-2*G931+SQRT(4*G931^2+8*G931*(Espesor_vástago_estribo-0.08)))/2</f>
        <v>5.2003248982935665E-2</v>
      </c>
      <c r="H935" s="337"/>
      <c r="I935" s="18"/>
      <c r="J935" s="10"/>
      <c r="Q935" s="11"/>
    </row>
    <row r="936" spans="1:17" s="1" customFormat="1" ht="13.8" x14ac:dyDescent="0.3">
      <c r="A936" s="36"/>
      <c r="B936" s="27"/>
      <c r="C936" s="63"/>
      <c r="D936" s="43"/>
      <c r="E936" s="18"/>
      <c r="F936" s="10"/>
      <c r="G936" s="47"/>
      <c r="H936" s="48"/>
      <c r="I936" s="18"/>
      <c r="J936" s="10"/>
      <c r="Q936" s="11"/>
    </row>
    <row r="937" spans="1:17" s="1" customFormat="1" ht="13.8" x14ac:dyDescent="0.3">
      <c r="A937" s="36"/>
      <c r="B937" s="27" t="s">
        <v>525</v>
      </c>
      <c r="C937" s="63"/>
      <c r="D937" s="43"/>
      <c r="E937" s="18"/>
      <c r="F937" s="10"/>
      <c r="G937" s="47"/>
      <c r="H937" s="48"/>
      <c r="I937" s="18"/>
      <c r="J937" s="10"/>
      <c r="Q937" s="11"/>
    </row>
    <row r="938" spans="1:17" s="1" customFormat="1" ht="13.8" x14ac:dyDescent="0.3">
      <c r="A938" s="36"/>
      <c r="B938" s="43"/>
      <c r="C938" s="63"/>
      <c r="D938" s="43"/>
      <c r="E938" s="18"/>
      <c r="F938" s="10"/>
      <c r="G938" s="47"/>
      <c r="H938" s="48"/>
      <c r="I938" s="18"/>
      <c r="J938" s="10"/>
      <c r="Q938" s="11"/>
    </row>
    <row r="939" spans="1:17" s="1" customFormat="1" ht="13.8" x14ac:dyDescent="0.3">
      <c r="A939" s="36" t="s">
        <v>12</v>
      </c>
      <c r="B939" s="43" t="s">
        <v>526</v>
      </c>
      <c r="C939" s="63"/>
      <c r="D939" s="43"/>
      <c r="E939" s="18"/>
      <c r="F939" s="10"/>
      <c r="G939" s="76">
        <f>1*G935^3/3+G931*((Espesor_vástago_estribo-0.08)-G935)^2</f>
        <v>5.4447190043799732E-4</v>
      </c>
      <c r="H939" s="48"/>
      <c r="I939" s="18"/>
      <c r="J939" s="10"/>
      <c r="Q939" s="11"/>
    </row>
    <row r="940" spans="1:17" s="1" customFormat="1" ht="13.8" x14ac:dyDescent="0.3">
      <c r="A940" s="36"/>
      <c r="B940" s="27"/>
      <c r="C940" s="63"/>
      <c r="D940" s="43"/>
      <c r="E940" s="18"/>
      <c r="F940" s="10"/>
      <c r="G940" s="47"/>
      <c r="H940" s="48"/>
      <c r="I940" s="18"/>
      <c r="J940" s="10"/>
      <c r="Q940" s="11"/>
    </row>
    <row r="941" spans="1:17" s="1" customFormat="1" ht="13.8" x14ac:dyDescent="0.3">
      <c r="A941" s="36"/>
      <c r="B941" s="27" t="s">
        <v>527</v>
      </c>
      <c r="C941" s="63"/>
      <c r="D941" s="43"/>
      <c r="E941" s="18"/>
      <c r="F941" s="10"/>
      <c r="G941" s="47"/>
      <c r="H941" s="48"/>
      <c r="I941" s="18"/>
      <c r="J941" s="10"/>
      <c r="Q941" s="11"/>
    </row>
    <row r="942" spans="1:17" s="1" customFormat="1" ht="13.8" x14ac:dyDescent="0.3">
      <c r="A942" s="36"/>
      <c r="B942" s="27"/>
      <c r="C942" s="63"/>
      <c r="D942" s="43"/>
      <c r="E942" s="18"/>
      <c r="F942" s="10"/>
      <c r="G942" s="47"/>
      <c r="H942" s="48"/>
      <c r="I942" s="18"/>
      <c r="J942" s="10"/>
      <c r="Q942" s="11"/>
    </row>
    <row r="943" spans="1:17" s="1" customFormat="1" ht="13.8" x14ac:dyDescent="0.3">
      <c r="A943" s="36" t="s">
        <v>12</v>
      </c>
      <c r="B943" s="43" t="s">
        <v>528</v>
      </c>
      <c r="C943" s="63"/>
      <c r="D943" s="43"/>
      <c r="E943" s="18"/>
      <c r="F943" s="10"/>
      <c r="G943" s="47">
        <f>(Espesor_vástago_estribo-0.08)-G935/3</f>
        <v>0.40266558367235478</v>
      </c>
      <c r="H943" s="48"/>
      <c r="I943" s="18"/>
      <c r="J943" s="10"/>
      <c r="Q943" s="11"/>
    </row>
    <row r="944" spans="1:17" s="1" customFormat="1" ht="13.8" x14ac:dyDescent="0.3">
      <c r="A944" s="36"/>
      <c r="B944" s="27"/>
      <c r="C944" s="63"/>
      <c r="D944" s="43"/>
      <c r="E944" s="18"/>
      <c r="F944" s="10"/>
      <c r="G944" s="47"/>
      <c r="H944" s="48"/>
      <c r="I944" s="18"/>
      <c r="J944" s="10"/>
      <c r="Q944" s="11"/>
    </row>
    <row r="945" spans="1:17" s="1" customFormat="1" ht="13.8" x14ac:dyDescent="0.3">
      <c r="A945" s="36"/>
      <c r="B945" s="27" t="s">
        <v>529</v>
      </c>
      <c r="C945" s="63"/>
      <c r="D945" s="43"/>
      <c r="E945" s="18"/>
      <c r="F945" s="10"/>
      <c r="G945" s="47"/>
      <c r="H945" s="48"/>
      <c r="I945" s="18"/>
      <c r="J945" s="10"/>
      <c r="Q945" s="11"/>
    </row>
    <row r="946" spans="1:17" s="1" customFormat="1" ht="13.8" x14ac:dyDescent="0.3">
      <c r="A946" s="36"/>
      <c r="B946" s="27"/>
      <c r="C946" s="63"/>
      <c r="D946" s="43"/>
      <c r="E946" s="18"/>
      <c r="F946" s="10"/>
      <c r="G946" s="47"/>
      <c r="H946" s="48"/>
      <c r="I946" s="18"/>
      <c r="J946" s="10"/>
      <c r="Q946" s="11"/>
    </row>
    <row r="947" spans="1:17" s="1" customFormat="1" ht="15" x14ac:dyDescent="0.35">
      <c r="A947" s="36" t="s">
        <v>12</v>
      </c>
      <c r="B947" s="43" t="s">
        <v>513</v>
      </c>
      <c r="C947" s="63"/>
      <c r="D947" s="43"/>
      <c r="E947" s="18"/>
      <c r="F947" s="10"/>
      <c r="G947" s="338">
        <f>G925/(G943*C859*0.0001)</f>
        <v>217072.34271421621</v>
      </c>
      <c r="H947" s="338"/>
      <c r="I947" s="18"/>
      <c r="J947" s="10"/>
      <c r="Q947" s="11"/>
    </row>
    <row r="948" spans="1:17" s="1" customFormat="1" ht="13.8" x14ac:dyDescent="0.3">
      <c r="A948" s="36"/>
      <c r="B948" s="27"/>
      <c r="C948" s="63"/>
      <c r="D948" s="43"/>
      <c r="E948" s="18"/>
      <c r="F948" s="10"/>
      <c r="G948" s="47"/>
      <c r="H948" s="48"/>
      <c r="I948" s="18"/>
      <c r="J948" s="10"/>
      <c r="Q948" s="11"/>
    </row>
    <row r="949" spans="1:17" s="1" customFormat="1" ht="13.8" x14ac:dyDescent="0.3">
      <c r="A949" s="36"/>
      <c r="B949" s="27" t="s">
        <v>530</v>
      </c>
      <c r="C949" s="63"/>
      <c r="D949" s="43"/>
      <c r="E949" s="18"/>
      <c r="F949" s="10"/>
      <c r="G949" s="47"/>
      <c r="H949" s="48"/>
      <c r="I949" s="18"/>
      <c r="J949" s="10"/>
      <c r="Q949" s="11"/>
    </row>
    <row r="950" spans="1:17" s="1" customFormat="1" ht="13.8" x14ac:dyDescent="0.3">
      <c r="A950" s="36"/>
      <c r="B950" s="27"/>
      <c r="C950" s="63"/>
      <c r="D950" s="43"/>
      <c r="E950" s="18"/>
      <c r="F950" s="10"/>
      <c r="G950" s="47"/>
      <c r="H950" s="48"/>
      <c r="I950" s="18"/>
      <c r="J950" s="10"/>
      <c r="Q950" s="11"/>
    </row>
    <row r="951" spans="1:17" s="1" customFormat="1" ht="15" x14ac:dyDescent="0.35">
      <c r="A951" s="36" t="s">
        <v>12</v>
      </c>
      <c r="B951" s="43" t="s">
        <v>513</v>
      </c>
      <c r="C951" s="63" t="s">
        <v>531</v>
      </c>
      <c r="D951" s="43"/>
      <c r="E951" s="18"/>
      <c r="F951" s="10"/>
      <c r="G951" s="338">
        <f>G925*((Espesor_vástago_estribo-0.08)-G935)*G926/G939</f>
        <v>217072.34271421621</v>
      </c>
      <c r="H951" s="338"/>
      <c r="I951" s="18"/>
      <c r="J951" s="10"/>
      <c r="Q951" s="11"/>
    </row>
    <row r="952" spans="1:17" s="1" customFormat="1" ht="13.8" x14ac:dyDescent="0.3">
      <c r="A952" s="36"/>
      <c r="B952" s="27"/>
      <c r="C952" s="63"/>
      <c r="D952" s="43"/>
      <c r="E952" s="18"/>
      <c r="F952" s="10"/>
      <c r="G952" s="47"/>
      <c r="H952" s="48"/>
      <c r="I952" s="18"/>
      <c r="J952" s="10"/>
      <c r="Q952" s="11"/>
    </row>
    <row r="953" spans="1:17" s="1" customFormat="1" ht="13.8" x14ac:dyDescent="0.3">
      <c r="A953" s="36"/>
      <c r="B953" s="27" t="s">
        <v>532</v>
      </c>
      <c r="C953" s="63"/>
      <c r="D953" s="43"/>
      <c r="E953" s="18"/>
      <c r="F953" s="10"/>
      <c r="G953" s="47"/>
      <c r="H953" s="48"/>
      <c r="I953" s="18"/>
      <c r="J953" s="10"/>
      <c r="Q953" s="11"/>
    </row>
    <row r="954" spans="1:17" s="1" customFormat="1" ht="13.8" x14ac:dyDescent="0.3">
      <c r="A954" s="36"/>
      <c r="B954" s="27"/>
      <c r="C954" s="63"/>
      <c r="D954" s="43"/>
      <c r="E954" s="18"/>
      <c r="F954" s="10"/>
      <c r="G954" s="47"/>
      <c r="H954" s="48"/>
      <c r="I954" s="18"/>
      <c r="J954" s="10"/>
      <c r="Q954" s="11"/>
    </row>
    <row r="955" spans="1:17" s="1" customFormat="1" ht="15" x14ac:dyDescent="0.35">
      <c r="A955" s="36" t="s">
        <v>12</v>
      </c>
      <c r="B955" s="74" t="s">
        <v>504</v>
      </c>
      <c r="C955" s="27"/>
      <c r="D955" s="27"/>
      <c r="E955" s="27"/>
      <c r="F955" s="27"/>
      <c r="G955" s="77">
        <f>1+0.05/(0.7*(Espesor_vástago_estribo-0.05))</f>
        <v>1.1587301587301588</v>
      </c>
      <c r="H955" s="72"/>
      <c r="I955" s="27"/>
      <c r="J955" s="27"/>
      <c r="Q955" s="11"/>
    </row>
    <row r="956" spans="1:17" s="1" customFormat="1" ht="13.8" x14ac:dyDescent="0.3">
      <c r="A956" s="36" t="s">
        <v>12</v>
      </c>
      <c r="B956" s="192" t="s">
        <v>499</v>
      </c>
      <c r="C956" s="175"/>
      <c r="D956" s="175"/>
      <c r="E956" s="175"/>
      <c r="F956" s="175"/>
      <c r="G956" s="234">
        <f>123000*1/(G955*G951)-2*0.05</f>
        <v>0.38901063859276697</v>
      </c>
      <c r="H956" s="72" t="str">
        <f>IF(G956&lt;I956,"&lt;","&gt;")</f>
        <v>&lt;</v>
      </c>
      <c r="I956" s="27">
        <f>C861/100</f>
        <v>0.70109826977990641</v>
      </c>
      <c r="J956" s="27" t="str">
        <f>IF(H956="&gt;","Cumple","No cumple")</f>
        <v>No cumple</v>
      </c>
      <c r="Q956" s="11"/>
    </row>
    <row r="957" spans="1:17" s="1" customFormat="1" ht="13.8" x14ac:dyDescent="0.3">
      <c r="A957" s="36"/>
      <c r="B957" s="27"/>
      <c r="C957" s="63"/>
      <c r="D957" s="43"/>
      <c r="E957" s="18"/>
      <c r="F957" s="10"/>
      <c r="G957" s="47"/>
      <c r="H957" s="48"/>
      <c r="I957" s="18"/>
      <c r="J957" s="10"/>
      <c r="Q957" s="11"/>
    </row>
    <row r="958" spans="1:17" s="1" customFormat="1" x14ac:dyDescent="0.25">
      <c r="A958" s="68">
        <f>A900+1</f>
        <v>5</v>
      </c>
      <c r="B958" s="27" t="s">
        <v>497</v>
      </c>
      <c r="C958" s="37"/>
      <c r="D958" s="10"/>
      <c r="E958" s="10"/>
      <c r="F958" s="10"/>
      <c r="G958" s="45"/>
      <c r="H958" s="45"/>
      <c r="I958" s="18"/>
      <c r="J958" s="10"/>
      <c r="Q958" s="11"/>
    </row>
    <row r="959" spans="1:17" s="1" customFormat="1" ht="13.8" x14ac:dyDescent="0.3">
      <c r="A959" s="36"/>
      <c r="B959" s="27"/>
      <c r="C959" s="63"/>
      <c r="D959" s="43"/>
      <c r="E959" s="18"/>
      <c r="F959" s="10"/>
      <c r="G959" s="47"/>
      <c r="H959" s="48"/>
      <c r="I959" s="18"/>
      <c r="J959" s="10"/>
      <c r="Q959" s="11"/>
    </row>
    <row r="960" spans="1:17" s="1" customFormat="1" x14ac:dyDescent="0.25">
      <c r="A960" s="78">
        <v>1</v>
      </c>
      <c r="B960" s="27" t="s">
        <v>533</v>
      </c>
      <c r="C960" s="37"/>
      <c r="D960" s="10"/>
      <c r="E960" s="10"/>
      <c r="F960" s="10"/>
      <c r="G960" s="45"/>
      <c r="H960" s="45"/>
      <c r="I960" s="18"/>
      <c r="J960" s="10"/>
      <c r="Q960" s="11"/>
    </row>
    <row r="961" spans="1:17" s="1" customFormat="1" ht="13.8" x14ac:dyDescent="0.3">
      <c r="A961" s="36"/>
      <c r="B961" s="27"/>
      <c r="C961" s="63"/>
      <c r="D961" s="43"/>
      <c r="E961" s="18"/>
      <c r="F961" s="10"/>
      <c r="G961" s="47"/>
      <c r="H961" s="48"/>
      <c r="I961" s="18"/>
      <c r="J961" s="10"/>
      <c r="Q961" s="11"/>
    </row>
    <row r="962" spans="1:17" s="1" customFormat="1" ht="13.8" x14ac:dyDescent="0.3">
      <c r="A962" s="36"/>
      <c r="B962" s="27" t="s">
        <v>534</v>
      </c>
      <c r="C962" s="63"/>
      <c r="D962" s="43"/>
      <c r="E962" s="18"/>
      <c r="F962" s="10"/>
      <c r="G962" s="47"/>
      <c r="H962" s="48"/>
      <c r="I962" s="18"/>
      <c r="J962" s="10"/>
      <c r="Q962" s="11"/>
    </row>
    <row r="963" spans="1:17" s="1" customFormat="1" ht="13.8" x14ac:dyDescent="0.3">
      <c r="A963" s="36"/>
      <c r="B963" s="27"/>
      <c r="C963" s="63"/>
      <c r="D963" s="43"/>
      <c r="E963" s="18"/>
      <c r="F963" s="10"/>
      <c r="G963" s="47"/>
      <c r="H963" s="48"/>
      <c r="I963" s="18"/>
      <c r="J963" s="10"/>
      <c r="Q963" s="11"/>
    </row>
    <row r="964" spans="1:17" s="1" customFormat="1" ht="13.8" x14ac:dyDescent="0.3">
      <c r="A964" s="36"/>
      <c r="B964" s="27" t="s">
        <v>535</v>
      </c>
      <c r="C964" s="63"/>
      <c r="D964" s="43"/>
      <c r="E964" s="18"/>
      <c r="F964" s="10"/>
      <c r="G964" s="47"/>
      <c r="H964" s="48"/>
      <c r="I964" s="18"/>
      <c r="J964" s="10"/>
      <c r="Q964" s="11"/>
    </row>
    <row r="965" spans="1:17" s="1" customFormat="1" ht="13.8" x14ac:dyDescent="0.3">
      <c r="A965" s="36"/>
      <c r="B965" s="27"/>
      <c r="C965" s="63"/>
      <c r="D965" s="43"/>
      <c r="E965" s="18"/>
      <c r="F965" s="10"/>
      <c r="G965" s="47"/>
      <c r="H965" s="48"/>
      <c r="I965" s="18"/>
      <c r="J965" s="10"/>
      <c r="Q965" s="11"/>
    </row>
    <row r="966" spans="1:17" s="1" customFormat="1" ht="15" x14ac:dyDescent="0.35">
      <c r="A966" s="36" t="s">
        <v>12</v>
      </c>
      <c r="B966" s="192" t="s">
        <v>466</v>
      </c>
      <c r="C966" s="224"/>
      <c r="D966" s="225"/>
      <c r="E966" s="226"/>
      <c r="F966" s="164"/>
      <c r="G966" s="332">
        <f>H710*(Ancho_base_estribo-Espesor_vástago_estribo)^2/2</f>
        <v>35.257428871174994</v>
      </c>
      <c r="H966" s="333"/>
      <c r="I966" s="18"/>
      <c r="J966" s="10"/>
      <c r="Q966" s="11"/>
    </row>
    <row r="967" spans="1:17" s="1" customFormat="1" ht="13.8" x14ac:dyDescent="0.3">
      <c r="A967" s="36"/>
      <c r="B967" s="27"/>
      <c r="C967" s="63"/>
      <c r="D967" s="43"/>
      <c r="E967" s="18"/>
      <c r="F967" s="10"/>
      <c r="G967" s="47"/>
      <c r="H967" s="48"/>
      <c r="I967" s="18"/>
      <c r="J967" s="10"/>
      <c r="Q967" s="11"/>
    </row>
    <row r="968" spans="1:17" s="1" customFormat="1" ht="13.8" x14ac:dyDescent="0.3">
      <c r="A968" s="36"/>
      <c r="B968" s="27" t="s">
        <v>536</v>
      </c>
      <c r="C968" s="63"/>
      <c r="D968" s="43"/>
      <c r="E968" s="18"/>
      <c r="F968" s="10"/>
      <c r="G968" s="47"/>
      <c r="H968" s="48"/>
      <c r="I968" s="18"/>
      <c r="J968" s="10"/>
      <c r="Q968" s="11"/>
    </row>
    <row r="969" spans="1:17" s="1" customFormat="1" ht="13.8" x14ac:dyDescent="0.3">
      <c r="A969" s="36"/>
      <c r="B969" s="27"/>
      <c r="C969" s="63"/>
      <c r="D969" s="43"/>
      <c r="E969" s="18"/>
      <c r="F969" s="10"/>
      <c r="G969" s="47"/>
      <c r="H969" s="48"/>
      <c r="I969" s="18"/>
      <c r="J969" s="10"/>
      <c r="Q969" s="11"/>
    </row>
    <row r="970" spans="1:17" s="1" customFormat="1" ht="15.6" x14ac:dyDescent="0.35">
      <c r="A970" s="36"/>
      <c r="B970" s="27" t="s">
        <v>537</v>
      </c>
      <c r="C970" s="63"/>
      <c r="D970" s="43"/>
      <c r="E970" s="18"/>
      <c r="F970" s="10"/>
      <c r="G970" s="47"/>
      <c r="H970" s="48"/>
      <c r="I970" s="18"/>
      <c r="J970" s="10"/>
      <c r="Q970" s="11"/>
    </row>
    <row r="971" spans="1:17" s="1" customFormat="1" ht="13.8" x14ac:dyDescent="0.3">
      <c r="A971" s="36"/>
      <c r="B971" s="27"/>
      <c r="C971" s="63"/>
      <c r="D971" s="43"/>
      <c r="E971" s="18"/>
      <c r="F971" s="10"/>
      <c r="G971" s="47"/>
      <c r="H971" s="48"/>
      <c r="I971" s="18"/>
      <c r="J971" s="10"/>
      <c r="Q971" s="11"/>
    </row>
    <row r="972" spans="1:17" s="1" customFormat="1" ht="15" x14ac:dyDescent="0.35">
      <c r="A972" s="36" t="s">
        <v>12</v>
      </c>
      <c r="B972" s="199" t="s">
        <v>481</v>
      </c>
      <c r="C972" s="228"/>
      <c r="D972" s="73"/>
      <c r="E972" s="75"/>
      <c r="F972" s="121"/>
      <c r="G972" s="326">
        <f>0.6*SQRT(E7)*1000</f>
        <v>2756.0841786854044</v>
      </c>
      <c r="H972" s="327"/>
      <c r="I972" s="18"/>
      <c r="J972" s="10"/>
      <c r="Q972" s="11"/>
    </row>
    <row r="973" spans="1:17" s="1" customFormat="1" ht="15" x14ac:dyDescent="0.35">
      <c r="A973" s="36" t="s">
        <v>12</v>
      </c>
      <c r="B973" s="194" t="s">
        <v>482</v>
      </c>
      <c r="C973" s="229" t="s">
        <v>483</v>
      </c>
      <c r="D973" s="74"/>
      <c r="E973" s="124"/>
      <c r="F973" s="136"/>
      <c r="G973" s="328">
        <f>(1*Altura_base_estribo^2)/6</f>
        <v>4.1666666666666664E-2</v>
      </c>
      <c r="H973" s="329"/>
      <c r="I973" s="18"/>
      <c r="J973" s="10"/>
      <c r="Q973" s="11"/>
    </row>
    <row r="974" spans="1:17" s="1" customFormat="1" ht="15.6" x14ac:dyDescent="0.35">
      <c r="A974" s="36" t="s">
        <v>12</v>
      </c>
      <c r="B974" s="188" t="s">
        <v>484</v>
      </c>
      <c r="C974" s="168"/>
      <c r="D974" s="168"/>
      <c r="E974" s="168"/>
      <c r="F974" s="168"/>
      <c r="G974" s="168">
        <v>0.75</v>
      </c>
      <c r="H974" s="169"/>
      <c r="I974" s="27"/>
      <c r="J974" s="27"/>
      <c r="Q974" s="11"/>
    </row>
    <row r="975" spans="1:17" s="1" customFormat="1" ht="15.6" x14ac:dyDescent="0.35">
      <c r="A975" s="36" t="s">
        <v>12</v>
      </c>
      <c r="B975" s="188" t="s">
        <v>485</v>
      </c>
      <c r="C975" s="168"/>
      <c r="D975" s="168"/>
      <c r="E975" s="168"/>
      <c r="F975" s="168"/>
      <c r="G975" s="168">
        <v>1.6</v>
      </c>
      <c r="H975" s="169"/>
      <c r="I975" s="27"/>
      <c r="J975" s="27"/>
      <c r="Q975" s="11"/>
    </row>
    <row r="976" spans="1:17" s="1" customFormat="1" x14ac:dyDescent="0.25">
      <c r="A976" s="36"/>
      <c r="B976" s="188"/>
      <c r="C976" s="168"/>
      <c r="D976" s="168"/>
      <c r="E976" s="168"/>
      <c r="F976" s="168"/>
      <c r="G976" s="168"/>
      <c r="H976" s="169"/>
      <c r="I976" s="27"/>
      <c r="J976" s="27"/>
      <c r="Q976" s="11"/>
    </row>
    <row r="977" spans="1:17" s="1" customFormat="1" ht="15.6" x14ac:dyDescent="0.35">
      <c r="A977" s="36" t="s">
        <v>12</v>
      </c>
      <c r="B977" s="143" t="s">
        <v>486</v>
      </c>
      <c r="C977" s="171"/>
      <c r="D977" s="171"/>
      <c r="E977" s="171"/>
      <c r="F977" s="171"/>
      <c r="G977" s="330">
        <f>G974*(G975^2*G972*G973)</f>
        <v>220.48673429483239</v>
      </c>
      <c r="H977" s="331" t="str">
        <f>IF(G976&lt;I977,"&lt;","&gt;")</f>
        <v>&gt;</v>
      </c>
      <c r="I977" s="27"/>
      <c r="J977" s="27"/>
      <c r="Q977" s="11"/>
    </row>
    <row r="978" spans="1:17" s="1" customFormat="1" x14ac:dyDescent="0.25">
      <c r="A978" s="36"/>
      <c r="B978" s="27"/>
      <c r="C978" s="27"/>
      <c r="D978" s="27"/>
      <c r="E978" s="27"/>
      <c r="F978" s="27"/>
      <c r="G978" s="27"/>
      <c r="H978" s="27" t="str">
        <f>IF(G977&lt;I978,"&lt;","&gt;")</f>
        <v>&gt;</v>
      </c>
      <c r="I978" s="314">
        <f>G966</f>
        <v>35.257428871174994</v>
      </c>
      <c r="J978" s="314"/>
      <c r="Q978" s="11"/>
    </row>
    <row r="979" spans="1:17" s="1" customFormat="1" ht="13.8" x14ac:dyDescent="0.3">
      <c r="A979" s="36"/>
      <c r="B979" s="27"/>
      <c r="C979" s="63"/>
      <c r="D979" s="43"/>
      <c r="E979" s="18"/>
      <c r="F979" s="10"/>
      <c r="G979" s="47"/>
      <c r="H979" s="48"/>
      <c r="I979" s="18"/>
      <c r="J979" s="10"/>
      <c r="P979" s="1" t="s">
        <v>582</v>
      </c>
      <c r="Q979" s="11" t="s">
        <v>583</v>
      </c>
    </row>
    <row r="980" spans="1:17" s="1" customFormat="1" ht="15.6" x14ac:dyDescent="0.35">
      <c r="A980" s="36"/>
      <c r="B980" s="27" t="s">
        <v>538</v>
      </c>
      <c r="C980" s="63"/>
      <c r="D980" s="43"/>
      <c r="E980" s="18"/>
      <c r="F980" s="10"/>
      <c r="G980" s="47"/>
      <c r="H980" s="48"/>
      <c r="I980" s="18"/>
      <c r="J980" s="10"/>
      <c r="M980" s="1" t="s">
        <v>584</v>
      </c>
      <c r="N980" s="1" t="s">
        <v>583</v>
      </c>
      <c r="P980" s="1">
        <v>3</v>
      </c>
      <c r="Q980" s="11">
        <v>71</v>
      </c>
    </row>
    <row r="981" spans="1:17" s="1" customFormat="1" ht="13.8" x14ac:dyDescent="0.3">
      <c r="A981" s="36"/>
      <c r="B981" s="27"/>
      <c r="C981" s="63"/>
      <c r="D981" s="43"/>
      <c r="E981" s="18"/>
      <c r="F981" s="10"/>
      <c r="G981" s="47"/>
      <c r="H981" s="48"/>
      <c r="I981" s="18"/>
      <c r="J981" s="10"/>
      <c r="M981" s="1">
        <v>5</v>
      </c>
      <c r="N981" s="1">
        <f>VLOOKUP($M$981,$P$980:$Q$985,2,FALSE)</f>
        <v>199</v>
      </c>
      <c r="P981" s="1">
        <v>4</v>
      </c>
      <c r="Q981" s="11">
        <v>129</v>
      </c>
    </row>
    <row r="982" spans="1:17" s="1" customFormat="1" ht="15.6" x14ac:dyDescent="0.35">
      <c r="A982" s="36" t="s">
        <v>12</v>
      </c>
      <c r="B982" s="174" t="s">
        <v>539</v>
      </c>
      <c r="C982" s="224"/>
      <c r="D982" s="225"/>
      <c r="E982" s="226"/>
      <c r="F982" s="164"/>
      <c r="G982" s="332">
        <f>MIN(G977,1.33*I978)</f>
        <v>46.892380398662745</v>
      </c>
      <c r="H982" s="333"/>
      <c r="I982" s="18"/>
      <c r="J982" s="10"/>
      <c r="P982" s="1">
        <v>5</v>
      </c>
      <c r="Q982" s="11">
        <v>199</v>
      </c>
    </row>
    <row r="983" spans="1:17" s="1" customFormat="1" ht="13.8" x14ac:dyDescent="0.3">
      <c r="A983" s="36"/>
      <c r="B983" s="27"/>
      <c r="C983" s="63"/>
      <c r="D983" s="43"/>
      <c r="E983" s="18"/>
      <c r="F983" s="10"/>
      <c r="G983" s="47"/>
      <c r="H983" s="48"/>
      <c r="I983" s="18"/>
      <c r="J983" s="10"/>
      <c r="P983" s="1">
        <v>6</v>
      </c>
      <c r="Q983" s="11">
        <v>284</v>
      </c>
    </row>
    <row r="984" spans="1:17" s="1" customFormat="1" ht="13.8" x14ac:dyDescent="0.3">
      <c r="A984" s="36"/>
      <c r="B984" s="27" t="s">
        <v>467</v>
      </c>
      <c r="C984" s="27"/>
      <c r="D984" s="43"/>
      <c r="E984" s="18"/>
      <c r="F984" s="10"/>
      <c r="G984" s="47"/>
      <c r="H984" s="48"/>
      <c r="I984" s="18"/>
      <c r="J984" s="10"/>
      <c r="P984" s="1">
        <v>7</v>
      </c>
      <c r="Q984" s="11">
        <v>387</v>
      </c>
    </row>
    <row r="985" spans="1:17" s="1" customFormat="1" ht="15.6" x14ac:dyDescent="0.35">
      <c r="A985" s="36"/>
      <c r="B985" s="142" t="s">
        <v>468</v>
      </c>
      <c r="C985" s="235">
        <f>G982</f>
        <v>46.892380398662745</v>
      </c>
      <c r="D985" s="43"/>
      <c r="E985" s="18"/>
      <c r="F985" s="10"/>
      <c r="G985" s="47"/>
      <c r="H985" s="48"/>
      <c r="I985" s="18"/>
      <c r="J985" s="10"/>
      <c r="P985" s="1">
        <v>8</v>
      </c>
      <c r="Q985" s="11">
        <v>510</v>
      </c>
    </row>
    <row r="986" spans="1:17" s="1" customFormat="1" ht="13.8" x14ac:dyDescent="0.3">
      <c r="A986" s="36"/>
      <c r="B986" s="188" t="s">
        <v>469</v>
      </c>
      <c r="C986" s="169">
        <v>1</v>
      </c>
      <c r="D986" s="43"/>
      <c r="E986" s="18"/>
      <c r="F986" s="10"/>
      <c r="G986" s="47"/>
      <c r="H986" s="48"/>
      <c r="I986" s="18"/>
      <c r="J986" s="10"/>
      <c r="Q986" s="11"/>
    </row>
    <row r="987" spans="1:17" s="1" customFormat="1" ht="13.8" x14ac:dyDescent="0.3">
      <c r="A987" s="36"/>
      <c r="B987" s="188" t="s">
        <v>470</v>
      </c>
      <c r="C987" s="169">
        <f>Altura_base_estribo-0.08</f>
        <v>0.42</v>
      </c>
      <c r="D987" s="43"/>
      <c r="E987" s="18"/>
      <c r="F987" s="10"/>
      <c r="G987" s="47"/>
      <c r="H987" s="48"/>
      <c r="I987" s="18"/>
      <c r="J987" s="10"/>
      <c r="Q987" s="11"/>
    </row>
    <row r="988" spans="1:17" s="1" customFormat="1" ht="13.8" x14ac:dyDescent="0.3">
      <c r="A988" s="36"/>
      <c r="B988" s="188" t="s">
        <v>471</v>
      </c>
      <c r="C988" s="169">
        <f>C985/(C986*C987^2)</f>
        <v>265.82982085409725</v>
      </c>
      <c r="D988" s="43"/>
      <c r="E988" s="18"/>
      <c r="F988" s="10"/>
      <c r="G988" s="47"/>
      <c r="H988" s="48"/>
      <c r="I988" s="18"/>
      <c r="J988" s="10"/>
      <c r="Q988" s="11"/>
    </row>
    <row r="989" spans="1:17" s="1" customFormat="1" ht="13.8" x14ac:dyDescent="0.3">
      <c r="A989" s="36"/>
      <c r="B989" s="188" t="s">
        <v>472</v>
      </c>
      <c r="C989" s="236">
        <f>(-M994-SQRT(M994^2-4*M993*C988))/(2*M993)</f>
        <v>7.0915967753023982E-4</v>
      </c>
      <c r="D989" s="43"/>
      <c r="E989" s="18"/>
      <c r="F989" s="10"/>
      <c r="G989" s="47"/>
      <c r="H989" s="48"/>
      <c r="I989" s="18"/>
      <c r="J989" s="10"/>
      <c r="L989" s="66" t="s">
        <v>34</v>
      </c>
      <c r="M989" s="1">
        <v>0.9</v>
      </c>
      <c r="Q989" s="11"/>
    </row>
    <row r="990" spans="1:17" s="1" customFormat="1" ht="15.6" x14ac:dyDescent="0.35">
      <c r="A990" s="36"/>
      <c r="B990" s="188" t="s">
        <v>473</v>
      </c>
      <c r="C990" s="169">
        <f>C989*C986*C987*10000</f>
        <v>2.9784706456270071</v>
      </c>
      <c r="D990" s="43"/>
      <c r="E990" s="18"/>
      <c r="F990" s="10"/>
      <c r="G990" s="47"/>
      <c r="H990" s="48"/>
      <c r="I990" s="18"/>
      <c r="J990" s="10"/>
      <c r="L990" s="1" t="s">
        <v>474</v>
      </c>
      <c r="M990" s="1">
        <v>420000</v>
      </c>
      <c r="Q990" s="11"/>
    </row>
    <row r="991" spans="1:17" s="1" customFormat="1" ht="13.8" x14ac:dyDescent="0.3">
      <c r="A991" s="36"/>
      <c r="B991" s="143" t="str">
        <f>CONCATENATE("#",M981)</f>
        <v>#5</v>
      </c>
      <c r="C991" s="173">
        <f>C990/(N981*0.01)</f>
        <v>1.496718917400506</v>
      </c>
      <c r="D991" s="43"/>
      <c r="E991" s="18"/>
      <c r="F991" s="10"/>
      <c r="G991" s="47"/>
      <c r="H991" s="48"/>
      <c r="I991" s="18"/>
      <c r="J991" s="10"/>
      <c r="L991" s="1" t="s">
        <v>475</v>
      </c>
      <c r="M991" s="67">
        <f>E7*1000</f>
        <v>21100</v>
      </c>
      <c r="Q991" s="11"/>
    </row>
    <row r="992" spans="1:17" s="1" customFormat="1" ht="13.8" x14ac:dyDescent="0.3">
      <c r="A992" s="36"/>
      <c r="B992" s="27" t="s">
        <v>476</v>
      </c>
      <c r="C992" s="27">
        <f>ROUNDDOWN(100/C991/5,0)*5</f>
        <v>65</v>
      </c>
      <c r="D992" s="43"/>
      <c r="E992" s="83"/>
      <c r="F992" s="10"/>
      <c r="G992" s="47"/>
      <c r="H992" s="48"/>
      <c r="I992" s="18"/>
      <c r="J992" s="10"/>
      <c r="Q992" s="11"/>
    </row>
    <row r="993" spans="1:17" s="1" customFormat="1" ht="13.8" x14ac:dyDescent="0.3">
      <c r="A993" s="36"/>
      <c r="B993" s="43"/>
      <c r="C993" s="63"/>
      <c r="D993" s="43"/>
      <c r="E993" s="18"/>
      <c r="F993" s="10"/>
      <c r="G993" s="47"/>
      <c r="H993" s="48"/>
      <c r="I993" s="18"/>
      <c r="J993" s="10"/>
      <c r="L993" s="1" t="s">
        <v>5</v>
      </c>
      <c r="M993" s="1">
        <f>M989*0.59*M990^2/M991</f>
        <v>4439260.6635071086</v>
      </c>
      <c r="Q993" s="11"/>
    </row>
    <row r="994" spans="1:17" s="1" customFormat="1" ht="13.8" x14ac:dyDescent="0.3">
      <c r="A994" s="36"/>
      <c r="B994" s="27" t="str">
        <f>CONCATENATE("1#",M981," cada ",ROUNDUP(C992/100,2)," m en la cara interior de la zapata.")</f>
        <v>1#5 cada 0.65 m en la cara interior de la zapata.</v>
      </c>
      <c r="D994" s="43"/>
      <c r="E994" s="18"/>
      <c r="F994" s="10"/>
      <c r="G994" s="47"/>
      <c r="H994" s="48"/>
      <c r="I994" s="18"/>
      <c r="J994" s="10"/>
      <c r="L994" s="1" t="s">
        <v>4</v>
      </c>
      <c r="M994" s="1">
        <f>-(M989*M990)</f>
        <v>-378000</v>
      </c>
      <c r="Q994" s="11"/>
    </row>
    <row r="995" spans="1:17" s="1" customFormat="1" ht="13.8" x14ac:dyDescent="0.3">
      <c r="A995" s="36"/>
      <c r="B995" s="27"/>
      <c r="C995" s="63"/>
      <c r="D995" s="43"/>
      <c r="E995" s="18"/>
      <c r="F995" s="10"/>
      <c r="G995" s="47"/>
      <c r="H995" s="48"/>
      <c r="I995" s="18"/>
      <c r="J995" s="10"/>
      <c r="Q995" s="11"/>
    </row>
    <row r="996" spans="1:17" s="1" customFormat="1" ht="13.8" x14ac:dyDescent="0.3">
      <c r="A996" s="36"/>
      <c r="B996" s="27" t="s">
        <v>540</v>
      </c>
      <c r="C996" s="63"/>
      <c r="D996" s="43"/>
      <c r="E996" s="18"/>
      <c r="F996" s="10"/>
      <c r="G996" s="47"/>
      <c r="H996" s="48"/>
      <c r="I996" s="18"/>
      <c r="J996" s="10"/>
      <c r="Q996" s="11"/>
    </row>
    <row r="997" spans="1:17" s="1" customFormat="1" ht="13.8" x14ac:dyDescent="0.3">
      <c r="A997" s="36"/>
      <c r="B997" s="27"/>
      <c r="C997" s="63"/>
      <c r="D997" s="43"/>
      <c r="E997" s="18"/>
      <c r="F997" s="10"/>
      <c r="G997" s="47"/>
      <c r="H997" s="48"/>
      <c r="I997" s="18"/>
      <c r="J997" s="10"/>
      <c r="Q997" s="11"/>
    </row>
    <row r="998" spans="1:17" s="1" customFormat="1" ht="15.6" x14ac:dyDescent="0.35">
      <c r="A998" s="36" t="s">
        <v>12</v>
      </c>
      <c r="B998" s="174" t="s">
        <v>541</v>
      </c>
      <c r="C998" s="224"/>
      <c r="D998" s="225"/>
      <c r="E998" s="226"/>
      <c r="F998" s="164"/>
      <c r="G998" s="334">
        <f>(Ancho_base_estribo-Espesor_vástago_estribo-Altura_base_estribo)*H710</f>
        <v>35.257428871174994</v>
      </c>
      <c r="H998" s="335"/>
      <c r="I998" s="18"/>
      <c r="J998" s="10"/>
      <c r="Q998" s="11"/>
    </row>
    <row r="999" spans="1:17" s="1" customFormat="1" ht="13.8" x14ac:dyDescent="0.3">
      <c r="A999" s="36"/>
      <c r="B999" s="27"/>
      <c r="C999" s="63"/>
      <c r="D999" s="43"/>
      <c r="E999" s="18"/>
      <c r="F999" s="10"/>
      <c r="G999" s="47"/>
      <c r="H999" s="48"/>
      <c r="I999" s="18"/>
      <c r="J999" s="10"/>
      <c r="Q999" s="11"/>
    </row>
    <row r="1000" spans="1:17" s="1" customFormat="1" ht="12.75" customHeight="1" x14ac:dyDescent="0.25">
      <c r="A1000" s="36"/>
      <c r="B1000" s="336" t="s">
        <v>542</v>
      </c>
      <c r="C1000" s="336"/>
      <c r="D1000" s="336"/>
      <c r="E1000" s="336"/>
      <c r="F1000" s="336"/>
      <c r="G1000" s="336"/>
      <c r="H1000" s="336"/>
      <c r="I1000" s="336"/>
      <c r="J1000" s="336"/>
      <c r="Q1000" s="11"/>
    </row>
    <row r="1001" spans="1:17" s="1" customFormat="1" x14ac:dyDescent="0.25">
      <c r="A1001" s="36"/>
      <c r="B1001" s="336"/>
      <c r="C1001" s="336"/>
      <c r="D1001" s="336"/>
      <c r="E1001" s="336"/>
      <c r="F1001" s="336"/>
      <c r="G1001" s="336"/>
      <c r="H1001" s="336"/>
      <c r="I1001" s="336"/>
      <c r="J1001" s="336"/>
      <c r="Q1001" s="11"/>
    </row>
    <row r="1002" spans="1:17" s="1" customFormat="1" x14ac:dyDescent="0.25">
      <c r="A1002" s="36"/>
      <c r="B1002" s="336"/>
      <c r="C1002" s="336"/>
      <c r="D1002" s="336"/>
      <c r="E1002" s="336"/>
      <c r="F1002" s="336"/>
      <c r="G1002" s="336"/>
      <c r="H1002" s="336"/>
      <c r="I1002" s="336"/>
      <c r="J1002" s="336"/>
      <c r="Q1002" s="11"/>
    </row>
    <row r="1003" spans="1:17" s="1" customFormat="1" x14ac:dyDescent="0.25">
      <c r="A1003" s="36"/>
      <c r="B1003" s="336"/>
      <c r="C1003" s="336"/>
      <c r="D1003" s="336"/>
      <c r="E1003" s="336"/>
      <c r="F1003" s="336"/>
      <c r="G1003" s="336"/>
      <c r="H1003" s="336"/>
      <c r="I1003" s="336"/>
      <c r="J1003" s="336"/>
      <c r="Q1003" s="11"/>
    </row>
    <row r="1004" spans="1:17" s="1" customFormat="1" ht="13.8" x14ac:dyDescent="0.3">
      <c r="A1004" s="36"/>
      <c r="B1004" s="27"/>
      <c r="C1004" s="63"/>
      <c r="D1004" s="43"/>
      <c r="E1004" s="18"/>
      <c r="F1004" s="10"/>
      <c r="G1004" s="47"/>
      <c r="H1004" s="48"/>
      <c r="I1004" s="18"/>
      <c r="J1004" s="10"/>
      <c r="Q1004" s="11"/>
    </row>
    <row r="1005" spans="1:17" s="1" customFormat="1" ht="13.8" x14ac:dyDescent="0.3">
      <c r="A1005" s="36" t="s">
        <v>12</v>
      </c>
      <c r="B1005" s="199" t="s">
        <v>246</v>
      </c>
      <c r="C1005" s="228"/>
      <c r="D1005" s="73"/>
      <c r="E1005" s="75"/>
      <c r="F1005" s="121"/>
      <c r="G1005" s="237">
        <v>2</v>
      </c>
      <c r="H1005" s="238"/>
      <c r="I1005" s="18"/>
      <c r="J1005" s="10"/>
      <c r="Q1005" s="11"/>
    </row>
    <row r="1006" spans="1:17" s="1" customFormat="1" ht="13.8" x14ac:dyDescent="0.3">
      <c r="A1006" s="36" t="s">
        <v>12</v>
      </c>
      <c r="B1006" s="196" t="s">
        <v>243</v>
      </c>
      <c r="C1006" s="239"/>
      <c r="D1006" s="240"/>
      <c r="E1006" s="126"/>
      <c r="F1006" s="139"/>
      <c r="G1006" s="241">
        <v>45</v>
      </c>
      <c r="H1006" s="242"/>
      <c r="I1006" s="18"/>
      <c r="J1006" s="10"/>
      <c r="Q1006" s="11"/>
    </row>
    <row r="1007" spans="1:17" s="1" customFormat="1" ht="13.8" x14ac:dyDescent="0.3">
      <c r="A1007" s="36"/>
      <c r="B1007" s="27"/>
      <c r="C1007" s="63"/>
      <c r="D1007" s="43"/>
      <c r="E1007" s="18"/>
      <c r="F1007" s="10"/>
      <c r="G1007" s="47"/>
      <c r="H1007" s="48"/>
      <c r="I1007" s="18"/>
      <c r="J1007" s="10"/>
      <c r="Q1007" s="11"/>
    </row>
    <row r="1008" spans="1:17" s="1" customFormat="1" ht="13.8" x14ac:dyDescent="0.3">
      <c r="A1008" s="36"/>
      <c r="B1008" s="27" t="s">
        <v>543</v>
      </c>
      <c r="C1008" s="63"/>
      <c r="D1008" s="43"/>
      <c r="E1008" s="18"/>
      <c r="F1008" s="10"/>
      <c r="G1008" s="47"/>
      <c r="H1008" s="48"/>
      <c r="I1008" s="18"/>
      <c r="J1008" s="10"/>
      <c r="Q1008" s="11"/>
    </row>
    <row r="1009" spans="1:17" s="1" customFormat="1" ht="13.8" x14ac:dyDescent="0.3">
      <c r="A1009" s="36"/>
      <c r="B1009" s="27"/>
      <c r="C1009" s="63"/>
      <c r="D1009" s="43"/>
      <c r="E1009" s="18"/>
      <c r="F1009" s="10"/>
      <c r="G1009" s="47"/>
      <c r="H1009" s="48"/>
      <c r="I1009" s="18"/>
      <c r="J1009" s="10"/>
      <c r="Q1009" s="11"/>
    </row>
    <row r="1010" spans="1:17" s="1" customFormat="1" ht="15" x14ac:dyDescent="0.35">
      <c r="A1010" s="36" t="s">
        <v>12</v>
      </c>
      <c r="B1010" s="43" t="s">
        <v>544</v>
      </c>
      <c r="C1010" s="63"/>
      <c r="D1010" s="43"/>
      <c r="E1010" s="18"/>
      <c r="F1010" s="10"/>
      <c r="G1010" s="80">
        <f>3*(Altura_base_estribo-0.08)</f>
        <v>1.26</v>
      </c>
      <c r="H1010" s="79" t="str">
        <f>IF(G1010&lt;I1010,"&lt;","&gt;")</f>
        <v>&gt;</v>
      </c>
      <c r="I1010" s="80">
        <f>(Ancho_base_estribo-Espesor_vástago_estribo)</f>
        <v>1</v>
      </c>
      <c r="J1010" s="10"/>
      <c r="Q1010" s="11"/>
    </row>
    <row r="1011" spans="1:17" s="1" customFormat="1" ht="13.8" x14ac:dyDescent="0.3">
      <c r="A1011" s="36"/>
      <c r="B1011" s="27"/>
      <c r="C1011" s="63"/>
      <c r="D1011" s="43"/>
      <c r="E1011" s="18"/>
      <c r="F1011" s="10"/>
      <c r="G1011" s="47"/>
      <c r="H1011" s="48"/>
      <c r="I1011" s="18"/>
      <c r="J1011" s="10"/>
      <c r="Q1011" s="11"/>
    </row>
    <row r="1012" spans="1:17" s="1" customFormat="1" ht="13.8" x14ac:dyDescent="0.3">
      <c r="A1012" s="36"/>
      <c r="B1012" s="27" t="s">
        <v>545</v>
      </c>
      <c r="C1012" s="63"/>
      <c r="D1012" s="43"/>
      <c r="E1012" s="18"/>
      <c r="F1012" s="10"/>
      <c r="G1012" s="47"/>
      <c r="H1012" s="48"/>
      <c r="I1012" s="18"/>
      <c r="J1012" s="10"/>
      <c r="Q1012" s="11"/>
    </row>
    <row r="1013" spans="1:17" s="1" customFormat="1" ht="13.8" x14ac:dyDescent="0.3">
      <c r="A1013" s="36"/>
      <c r="B1013" s="27"/>
      <c r="C1013" s="63"/>
      <c r="D1013" s="43"/>
      <c r="E1013" s="18"/>
      <c r="F1013" s="10"/>
      <c r="G1013" s="47"/>
      <c r="H1013" s="48"/>
      <c r="I1013" s="18"/>
      <c r="J1013" s="10"/>
      <c r="Q1013" s="11"/>
    </row>
    <row r="1014" spans="1:17" s="1" customFormat="1" ht="15" x14ac:dyDescent="0.35">
      <c r="A1014" s="36" t="s">
        <v>12</v>
      </c>
      <c r="B1014" s="43" t="s">
        <v>546</v>
      </c>
      <c r="C1014" s="63"/>
      <c r="D1014" s="43"/>
      <c r="E1014" s="18"/>
      <c r="F1014" s="10"/>
      <c r="G1014" s="81">
        <f>0.25*E7*1*(Altura_base_estribo-0.08)</f>
        <v>2.2155</v>
      </c>
      <c r="H1014" s="79"/>
      <c r="I1014" s="80"/>
      <c r="J1014" s="10"/>
      <c r="Q1014" s="11"/>
    </row>
    <row r="1015" spans="1:17" s="1" customFormat="1" ht="13.8" x14ac:dyDescent="0.3">
      <c r="A1015" s="36"/>
      <c r="B1015" s="27"/>
      <c r="C1015" s="63"/>
      <c r="D1015" s="43"/>
      <c r="E1015" s="18"/>
      <c r="F1015" s="10"/>
      <c r="G1015" s="47"/>
      <c r="H1015" s="48"/>
      <c r="I1015" s="18"/>
      <c r="J1015" s="10"/>
      <c r="Q1015" s="11"/>
    </row>
    <row r="1016" spans="1:17" s="1" customFormat="1" ht="13.8" x14ac:dyDescent="0.3">
      <c r="A1016" s="36"/>
      <c r="B1016" s="27" t="s">
        <v>547</v>
      </c>
      <c r="C1016" s="63"/>
      <c r="D1016" s="43"/>
      <c r="E1016" s="18"/>
      <c r="F1016" s="10"/>
      <c r="G1016" s="47"/>
      <c r="H1016" s="48"/>
      <c r="I1016" s="18"/>
      <c r="J1016" s="10"/>
      <c r="Q1016" s="11"/>
    </row>
    <row r="1017" spans="1:17" s="1" customFormat="1" ht="13.8" x14ac:dyDescent="0.3">
      <c r="A1017" s="36"/>
      <c r="B1017" s="43"/>
      <c r="C1017" s="63"/>
      <c r="D1017" s="43"/>
      <c r="E1017" s="18"/>
      <c r="F1017" s="10"/>
      <c r="G1017" s="47"/>
      <c r="H1017" s="48"/>
      <c r="I1017" s="18"/>
      <c r="J1017" s="10"/>
      <c r="Q1017" s="11"/>
    </row>
    <row r="1018" spans="1:17" s="1" customFormat="1" ht="15" x14ac:dyDescent="0.35">
      <c r="A1018" s="36" t="s">
        <v>12</v>
      </c>
      <c r="B1018" s="192" t="s">
        <v>548</v>
      </c>
      <c r="C1018" s="224"/>
      <c r="D1018" s="225"/>
      <c r="E1018" s="226"/>
      <c r="F1018" s="164"/>
      <c r="G1018" s="243">
        <f>0.083*G1005*SQRT(E7)*1*(Altura_base_estribo-0.08)</f>
        <v>0.320256981563244</v>
      </c>
      <c r="H1018" s="79"/>
      <c r="I1018" s="80"/>
      <c r="J1018" s="10"/>
      <c r="Q1018" s="11"/>
    </row>
    <row r="1019" spans="1:17" s="1" customFormat="1" ht="13.8" x14ac:dyDescent="0.3">
      <c r="A1019" s="36"/>
      <c r="B1019" s="43"/>
      <c r="C1019" s="63"/>
      <c r="D1019" s="43"/>
      <c r="E1019" s="18"/>
      <c r="F1019" s="10"/>
      <c r="G1019" s="47"/>
      <c r="H1019" s="48"/>
      <c r="I1019" s="18"/>
      <c r="J1019" s="10"/>
      <c r="Q1019" s="11"/>
    </row>
    <row r="1020" spans="1:17" s="1" customFormat="1" ht="13.8" x14ac:dyDescent="0.3">
      <c r="A1020" s="36"/>
      <c r="B1020" s="27" t="s">
        <v>549</v>
      </c>
      <c r="C1020" s="63"/>
      <c r="D1020" s="43"/>
      <c r="E1020" s="18"/>
      <c r="F1020" s="10"/>
      <c r="G1020" s="47"/>
      <c r="H1020" s="48"/>
      <c r="I1020" s="18"/>
      <c r="J1020" s="10"/>
      <c r="Q1020" s="11"/>
    </row>
    <row r="1021" spans="1:17" s="1" customFormat="1" ht="13.8" x14ac:dyDescent="0.3">
      <c r="A1021" s="36"/>
      <c r="B1021" s="43"/>
      <c r="C1021" s="63"/>
      <c r="D1021" s="43"/>
      <c r="E1021" s="18"/>
      <c r="F1021" s="10"/>
      <c r="G1021" s="47"/>
      <c r="H1021" s="48"/>
      <c r="I1021" s="18"/>
      <c r="J1021" s="10"/>
      <c r="Q1021" s="11"/>
    </row>
    <row r="1022" spans="1:17" s="1" customFormat="1" ht="15" x14ac:dyDescent="0.35">
      <c r="A1022" s="36" t="s">
        <v>12</v>
      </c>
      <c r="B1022" s="192" t="s">
        <v>548</v>
      </c>
      <c r="C1022" s="224"/>
      <c r="D1022" s="225"/>
      <c r="E1022" s="226"/>
      <c r="F1022" s="164"/>
      <c r="G1022" s="244">
        <f>0.9*G1018</f>
        <v>0.28823128340691961</v>
      </c>
      <c r="H1022" s="245" t="str">
        <f>IF(G1022&lt;I1022,"&lt;","&gt;")</f>
        <v>&gt;</v>
      </c>
      <c r="I1022" s="244">
        <f>G998/1000</f>
        <v>3.5257428871174994E-2</v>
      </c>
      <c r="J1022" s="176" t="str">
        <f>IF(H1022="&gt;","Cumple","No cumple")</f>
        <v>Cumple</v>
      </c>
      <c r="Q1022" s="11"/>
    </row>
    <row r="1023" spans="1:17" s="1" customFormat="1" ht="13.8" x14ac:dyDescent="0.3">
      <c r="A1023" s="36"/>
      <c r="B1023" s="43"/>
      <c r="C1023" s="63"/>
      <c r="D1023" s="43"/>
      <c r="E1023" s="18"/>
      <c r="F1023" s="10"/>
      <c r="G1023" s="47"/>
      <c r="H1023" s="48"/>
      <c r="I1023" s="18"/>
      <c r="J1023" s="10"/>
      <c r="Q1023" s="11"/>
    </row>
    <row r="1024" spans="1:17" s="1" customFormat="1" ht="13.8" x14ac:dyDescent="0.3">
      <c r="A1024" s="36"/>
      <c r="B1024" s="27" t="s">
        <v>550</v>
      </c>
      <c r="C1024" s="63"/>
      <c r="D1024" s="43"/>
      <c r="E1024" s="18"/>
      <c r="F1024" s="10"/>
      <c r="G1024" s="47"/>
      <c r="H1024" s="48"/>
      <c r="I1024" s="18"/>
      <c r="J1024" s="10"/>
      <c r="Q1024" s="11"/>
    </row>
    <row r="1025" spans="1:17" s="1" customFormat="1" ht="13.8" x14ac:dyDescent="0.3">
      <c r="A1025" s="36"/>
      <c r="B1025" s="43"/>
      <c r="C1025" s="63"/>
      <c r="D1025" s="43"/>
      <c r="E1025" s="18"/>
      <c r="F1025" s="10"/>
      <c r="G1025" s="47"/>
      <c r="H1025" s="48"/>
      <c r="I1025" s="18"/>
      <c r="J1025" s="10"/>
      <c r="Q1025" s="11"/>
    </row>
    <row r="1026" spans="1:17" s="1" customFormat="1" x14ac:dyDescent="0.25">
      <c r="A1026" s="78">
        <f>A960+1</f>
        <v>2</v>
      </c>
      <c r="B1026" s="27" t="s">
        <v>551</v>
      </c>
      <c r="C1026" s="37"/>
      <c r="D1026" s="10"/>
      <c r="E1026" s="10"/>
      <c r="F1026" s="10"/>
      <c r="G1026" s="45"/>
      <c r="H1026" s="45"/>
      <c r="I1026" s="18"/>
      <c r="J1026" s="10"/>
      <c r="Q1026" s="11"/>
    </row>
    <row r="1027" spans="1:17" s="1" customFormat="1" ht="13.8" x14ac:dyDescent="0.3">
      <c r="A1027" s="36"/>
      <c r="B1027" s="43"/>
      <c r="C1027" s="63"/>
      <c r="D1027" s="43"/>
      <c r="E1027" s="18"/>
      <c r="F1027" s="10"/>
      <c r="G1027" s="47"/>
      <c r="H1027" s="48"/>
      <c r="I1027" s="18"/>
      <c r="J1027" s="10"/>
      <c r="Q1027" s="11"/>
    </row>
    <row r="1028" spans="1:17" s="37" customFormat="1" ht="12.75" customHeight="1" x14ac:dyDescent="0.25">
      <c r="A1028" s="36"/>
      <c r="B1028" s="336" t="s">
        <v>552</v>
      </c>
      <c r="C1028" s="336"/>
      <c r="D1028" s="336"/>
      <c r="E1028" s="336"/>
      <c r="F1028" s="336"/>
      <c r="G1028" s="336"/>
      <c r="H1028" s="336"/>
      <c r="I1028" s="336"/>
      <c r="J1028" s="336"/>
      <c r="Q1028" s="11"/>
    </row>
    <row r="1029" spans="1:17" s="37" customFormat="1" x14ac:dyDescent="0.25">
      <c r="A1029" s="36"/>
      <c r="B1029" s="336"/>
      <c r="C1029" s="336"/>
      <c r="D1029" s="336"/>
      <c r="E1029" s="336"/>
      <c r="F1029" s="336"/>
      <c r="G1029" s="336"/>
      <c r="H1029" s="336"/>
      <c r="I1029" s="336"/>
      <c r="J1029" s="336"/>
      <c r="Q1029" s="11"/>
    </row>
    <row r="1030" spans="1:17" s="37" customFormat="1" x14ac:dyDescent="0.25">
      <c r="A1030" s="36"/>
      <c r="B1030" s="28"/>
      <c r="C1030" s="28"/>
      <c r="D1030" s="28"/>
      <c r="E1030" s="28"/>
      <c r="F1030" s="28"/>
      <c r="G1030" s="28"/>
      <c r="H1030" s="28"/>
      <c r="I1030" s="28"/>
      <c r="J1030" s="28"/>
      <c r="Q1030" s="11"/>
    </row>
    <row r="1031" spans="1:17" s="1" customFormat="1" ht="15" x14ac:dyDescent="0.35">
      <c r="A1031" s="36" t="s">
        <v>12</v>
      </c>
      <c r="B1031" s="192" t="s">
        <v>553</v>
      </c>
      <c r="C1031" s="224"/>
      <c r="D1031" s="225"/>
      <c r="E1031" s="226"/>
      <c r="F1031" s="164"/>
      <c r="G1031" s="324">
        <f>1.35*DC_relleno*(D228-Ancho_base_estribo)+1.25*Altura_base_estribo*2.4*(Ancho_talón_estribo^2)/2-H711*(Ancho_estribo-2*G711-Ancho_base_estribo)^2/2</f>
        <v>32.942108998216391</v>
      </c>
      <c r="H1031" s="325"/>
      <c r="I1031" s="81"/>
      <c r="J1031" s="27"/>
      <c r="Q1031" s="11"/>
    </row>
    <row r="1032" spans="1:17" s="37" customFormat="1" x14ac:dyDescent="0.25">
      <c r="A1032" s="36"/>
      <c r="B1032" s="65"/>
      <c r="C1032" s="65"/>
      <c r="D1032" s="65"/>
      <c r="E1032" s="65"/>
      <c r="F1032" s="65"/>
      <c r="G1032" s="65"/>
      <c r="H1032" s="65"/>
      <c r="I1032" s="65"/>
      <c r="J1032" s="65"/>
      <c r="Q1032" s="11"/>
    </row>
    <row r="1033" spans="1:17" s="37" customFormat="1" x14ac:dyDescent="0.25">
      <c r="A1033" s="36"/>
      <c r="B1033" s="59" t="s">
        <v>536</v>
      </c>
      <c r="C1033" s="65"/>
      <c r="D1033" s="65"/>
      <c r="E1033" s="65"/>
      <c r="F1033" s="65"/>
      <c r="G1033" s="65"/>
      <c r="H1033" s="65"/>
      <c r="I1033" s="65"/>
      <c r="J1033" s="65"/>
      <c r="Q1033" s="11"/>
    </row>
    <row r="1034" spans="1:17" s="37" customFormat="1" x14ac:dyDescent="0.25">
      <c r="A1034" s="36"/>
      <c r="B1034" s="65"/>
      <c r="C1034" s="65"/>
      <c r="D1034" s="65"/>
      <c r="E1034" s="65"/>
      <c r="F1034" s="65"/>
      <c r="G1034" s="65"/>
      <c r="H1034" s="65"/>
      <c r="I1034" s="65"/>
      <c r="J1034" s="65"/>
      <c r="Q1034" s="11"/>
    </row>
    <row r="1035" spans="1:17" s="37" customFormat="1" ht="15.6" x14ac:dyDescent="0.35">
      <c r="A1035" s="36"/>
      <c r="B1035" s="59" t="s">
        <v>537</v>
      </c>
      <c r="C1035" s="65"/>
      <c r="D1035" s="65"/>
      <c r="E1035" s="65"/>
      <c r="F1035" s="65"/>
      <c r="G1035" s="65"/>
      <c r="H1035" s="65"/>
      <c r="I1035" s="65"/>
      <c r="J1035" s="65"/>
      <c r="Q1035" s="11"/>
    </row>
    <row r="1036" spans="1:17" s="37" customFormat="1" x14ac:dyDescent="0.25">
      <c r="A1036" s="36"/>
      <c r="B1036" s="65"/>
      <c r="C1036" s="65"/>
      <c r="D1036" s="65"/>
      <c r="E1036" s="65"/>
      <c r="F1036" s="65"/>
      <c r="G1036" s="65"/>
      <c r="H1036" s="65"/>
      <c r="I1036" s="65"/>
      <c r="J1036" s="65"/>
      <c r="Q1036" s="11"/>
    </row>
    <row r="1037" spans="1:17" s="1" customFormat="1" ht="15" x14ac:dyDescent="0.35">
      <c r="A1037" s="36" t="s">
        <v>12</v>
      </c>
      <c r="B1037" s="199" t="s">
        <v>481</v>
      </c>
      <c r="C1037" s="228"/>
      <c r="D1037" s="73"/>
      <c r="E1037" s="75"/>
      <c r="F1037" s="121"/>
      <c r="G1037" s="326">
        <f>0.6*SQRT(E7)*1000</f>
        <v>2756.0841786854044</v>
      </c>
      <c r="H1037" s="327"/>
      <c r="I1037" s="18"/>
      <c r="J1037" s="10"/>
      <c r="Q1037" s="11"/>
    </row>
    <row r="1038" spans="1:17" s="1" customFormat="1" ht="15" x14ac:dyDescent="0.35">
      <c r="A1038" s="36" t="s">
        <v>12</v>
      </c>
      <c r="B1038" s="194" t="s">
        <v>482</v>
      </c>
      <c r="C1038" s="229" t="s">
        <v>483</v>
      </c>
      <c r="D1038" s="74"/>
      <c r="E1038" s="124"/>
      <c r="F1038" s="136"/>
      <c r="G1038" s="328">
        <f>(1*Altura_base_estribo^2)/6</f>
        <v>4.1666666666666664E-2</v>
      </c>
      <c r="H1038" s="329"/>
      <c r="I1038" s="18"/>
      <c r="J1038" s="10"/>
      <c r="Q1038" s="11"/>
    </row>
    <row r="1039" spans="1:17" s="1" customFormat="1" ht="15.6" x14ac:dyDescent="0.35">
      <c r="A1039" s="36" t="s">
        <v>12</v>
      </c>
      <c r="B1039" s="188" t="s">
        <v>484</v>
      </c>
      <c r="C1039" s="168"/>
      <c r="D1039" s="168"/>
      <c r="E1039" s="168"/>
      <c r="F1039" s="168"/>
      <c r="G1039" s="168">
        <v>0.75</v>
      </c>
      <c r="H1039" s="169"/>
      <c r="I1039" s="27"/>
      <c r="J1039" s="27"/>
      <c r="Q1039" s="11"/>
    </row>
    <row r="1040" spans="1:17" s="1" customFormat="1" ht="15.6" x14ac:dyDescent="0.35">
      <c r="A1040" s="36" t="s">
        <v>12</v>
      </c>
      <c r="B1040" s="188" t="s">
        <v>485</v>
      </c>
      <c r="C1040" s="168"/>
      <c r="D1040" s="168"/>
      <c r="E1040" s="168"/>
      <c r="F1040" s="168"/>
      <c r="G1040" s="168">
        <v>1.6</v>
      </c>
      <c r="H1040" s="169"/>
      <c r="I1040" s="27"/>
      <c r="J1040" s="27"/>
      <c r="Q1040" s="11"/>
    </row>
    <row r="1041" spans="1:17" s="1" customFormat="1" x14ac:dyDescent="0.25">
      <c r="A1041" s="36"/>
      <c r="B1041" s="188"/>
      <c r="C1041" s="168"/>
      <c r="D1041" s="168"/>
      <c r="E1041" s="168"/>
      <c r="F1041" s="168"/>
      <c r="G1041" s="168"/>
      <c r="H1041" s="169"/>
      <c r="I1041" s="27"/>
      <c r="J1041" s="27"/>
      <c r="Q1041" s="11"/>
    </row>
    <row r="1042" spans="1:17" s="1" customFormat="1" ht="15.6" x14ac:dyDescent="0.35">
      <c r="A1042" s="36" t="s">
        <v>12</v>
      </c>
      <c r="B1042" s="143" t="s">
        <v>486</v>
      </c>
      <c r="C1042" s="171"/>
      <c r="D1042" s="171"/>
      <c r="E1042" s="171"/>
      <c r="F1042" s="171"/>
      <c r="G1042" s="330">
        <f>G1039*(G1040^2*G1037*G1038)</f>
        <v>220.48673429483239</v>
      </c>
      <c r="H1042" s="331" t="str">
        <f>IF(G1041&lt;I1042,"&lt;","&gt;")</f>
        <v>&gt;</v>
      </c>
      <c r="I1042" s="27"/>
      <c r="J1042" s="27"/>
      <c r="Q1042" s="11"/>
    </row>
    <row r="1043" spans="1:17" s="37" customFormat="1" x14ac:dyDescent="0.25">
      <c r="A1043" s="36"/>
      <c r="B1043" s="65"/>
      <c r="C1043" s="65"/>
      <c r="D1043" s="65"/>
      <c r="E1043" s="65"/>
      <c r="F1043" s="65"/>
      <c r="G1043" s="27"/>
      <c r="H1043" s="27" t="str">
        <f>IF(G1042&lt;I1043,"&lt;","&gt;")</f>
        <v>&gt;</v>
      </c>
      <c r="I1043" s="314">
        <f>G1031</f>
        <v>32.942108998216391</v>
      </c>
      <c r="J1043" s="314"/>
      <c r="Q1043" s="11"/>
    </row>
    <row r="1044" spans="1:17" s="37" customFormat="1" x14ac:dyDescent="0.25">
      <c r="A1044" s="36"/>
      <c r="B1044" s="65"/>
      <c r="C1044" s="65"/>
      <c r="D1044" s="65"/>
      <c r="E1044" s="65"/>
      <c r="F1044" s="65"/>
      <c r="G1044" s="65"/>
      <c r="H1044" s="65"/>
      <c r="I1044" s="65"/>
      <c r="J1044" s="65"/>
      <c r="Q1044" s="11"/>
    </row>
    <row r="1045" spans="1:17" s="1" customFormat="1" ht="15.6" x14ac:dyDescent="0.35">
      <c r="A1045" s="36"/>
      <c r="B1045" s="27" t="s">
        <v>554</v>
      </c>
      <c r="C1045" s="63"/>
      <c r="D1045" s="43"/>
      <c r="E1045" s="18"/>
      <c r="F1045" s="10"/>
      <c r="G1045" s="47"/>
      <c r="H1045" s="48"/>
      <c r="I1045" s="18"/>
      <c r="J1045" s="10"/>
      <c r="O1045" s="1" t="s">
        <v>582</v>
      </c>
      <c r="P1045" s="11" t="s">
        <v>583</v>
      </c>
      <c r="Q1045" s="11"/>
    </row>
    <row r="1046" spans="1:17" s="1" customFormat="1" ht="13.8" x14ac:dyDescent="0.3">
      <c r="A1046" s="36"/>
      <c r="B1046" s="27"/>
      <c r="C1046" s="63"/>
      <c r="D1046" s="43"/>
      <c r="E1046" s="18"/>
      <c r="F1046" s="10"/>
      <c r="G1046" s="47"/>
      <c r="H1046" s="48"/>
      <c r="I1046" s="18"/>
      <c r="J1046" s="10"/>
      <c r="L1046" s="1" t="s">
        <v>584</v>
      </c>
      <c r="M1046" s="1" t="s">
        <v>583</v>
      </c>
      <c r="O1046" s="1">
        <v>3</v>
      </c>
      <c r="P1046" s="11">
        <v>71</v>
      </c>
      <c r="Q1046" s="11"/>
    </row>
    <row r="1047" spans="1:17" s="1" customFormat="1" ht="15.6" x14ac:dyDescent="0.35">
      <c r="A1047" s="36" t="s">
        <v>12</v>
      </c>
      <c r="B1047" s="174" t="s">
        <v>539</v>
      </c>
      <c r="C1047" s="224"/>
      <c r="D1047" s="225"/>
      <c r="E1047" s="226"/>
      <c r="F1047" s="164"/>
      <c r="G1047" s="332">
        <f>MIN(1.33*G1042,I1043)</f>
        <v>32.942108998216391</v>
      </c>
      <c r="H1047" s="333"/>
      <c r="I1047" s="18"/>
      <c r="J1047" s="10"/>
      <c r="L1047" s="1">
        <v>6</v>
      </c>
      <c r="M1047" s="1">
        <f>VLOOKUP(L1047,$O$1046:$P$1051,2,FALSE)</f>
        <v>284</v>
      </c>
      <c r="O1047" s="1">
        <v>4</v>
      </c>
      <c r="P1047" s="11">
        <v>129</v>
      </c>
      <c r="Q1047" s="11"/>
    </row>
    <row r="1048" spans="1:17" s="1" customFormat="1" ht="13.8" x14ac:dyDescent="0.3">
      <c r="A1048" s="36"/>
      <c r="B1048" s="27"/>
      <c r="C1048" s="63"/>
      <c r="D1048" s="43"/>
      <c r="E1048" s="18"/>
      <c r="F1048" s="10"/>
      <c r="G1048" s="47"/>
      <c r="H1048" s="27" t="str">
        <f>IF(G1047&lt;I1048,"&lt;","&gt;")</f>
        <v>&lt;</v>
      </c>
      <c r="I1048" s="314">
        <f>G1042</f>
        <v>220.48673429483239</v>
      </c>
      <c r="J1048" s="314"/>
      <c r="O1048" s="1">
        <v>5</v>
      </c>
      <c r="P1048" s="11">
        <v>199</v>
      </c>
      <c r="Q1048" s="11"/>
    </row>
    <row r="1049" spans="1:17" s="1" customFormat="1" ht="13.8" x14ac:dyDescent="0.3">
      <c r="A1049" s="36"/>
      <c r="B1049" s="27" t="s">
        <v>467</v>
      </c>
      <c r="C1049" s="27"/>
      <c r="D1049" s="43"/>
      <c r="E1049" s="18"/>
      <c r="F1049" s="10"/>
      <c r="G1049" s="47"/>
      <c r="H1049" s="48"/>
      <c r="I1049" s="18"/>
      <c r="J1049" s="10"/>
      <c r="O1049" s="1">
        <v>6</v>
      </c>
      <c r="P1049" s="11">
        <v>284</v>
      </c>
      <c r="Q1049" s="11"/>
    </row>
    <row r="1050" spans="1:17" s="1" customFormat="1" ht="15.6" x14ac:dyDescent="0.35">
      <c r="A1050" s="36"/>
      <c r="B1050" s="142" t="s">
        <v>468</v>
      </c>
      <c r="C1050" s="235">
        <f>G1047</f>
        <v>32.942108998216391</v>
      </c>
      <c r="D1050" s="43"/>
      <c r="E1050" s="18"/>
      <c r="F1050" s="10"/>
      <c r="G1050" s="47"/>
      <c r="H1050" s="48"/>
      <c r="I1050" s="18"/>
      <c r="J1050" s="10"/>
      <c r="O1050" s="1">
        <v>7</v>
      </c>
      <c r="P1050" s="11">
        <v>387</v>
      </c>
      <c r="Q1050" s="11"/>
    </row>
    <row r="1051" spans="1:17" s="1" customFormat="1" ht="13.8" x14ac:dyDescent="0.3">
      <c r="A1051" s="36"/>
      <c r="B1051" s="188" t="s">
        <v>469</v>
      </c>
      <c r="C1051" s="169">
        <v>1</v>
      </c>
      <c r="D1051" s="43"/>
      <c r="E1051" s="18"/>
      <c r="F1051" s="10"/>
      <c r="G1051" s="47"/>
      <c r="H1051" s="48"/>
      <c r="I1051" s="18"/>
      <c r="J1051" s="10"/>
      <c r="O1051" s="1">
        <v>8</v>
      </c>
      <c r="P1051" s="11">
        <v>510</v>
      </c>
      <c r="Q1051" s="11"/>
    </row>
    <row r="1052" spans="1:17" s="1" customFormat="1" ht="13.8" x14ac:dyDescent="0.3">
      <c r="A1052" s="36"/>
      <c r="B1052" s="188" t="s">
        <v>470</v>
      </c>
      <c r="C1052" s="169">
        <f>Altura_talón_estribo-0.08</f>
        <v>0.42</v>
      </c>
      <c r="D1052" s="43"/>
      <c r="E1052" s="18"/>
      <c r="F1052" s="10"/>
      <c r="G1052" s="47"/>
      <c r="H1052" s="48"/>
      <c r="I1052" s="18"/>
      <c r="J1052" s="10"/>
      <c r="Q1052" s="11"/>
    </row>
    <row r="1053" spans="1:17" s="1" customFormat="1" ht="13.8" x14ac:dyDescent="0.3">
      <c r="A1053" s="36"/>
      <c r="B1053" s="188" t="s">
        <v>471</v>
      </c>
      <c r="C1053" s="169">
        <f>C1050/(C1051*C1052^2)</f>
        <v>186.74664964975281</v>
      </c>
      <c r="D1053" s="43"/>
      <c r="E1053" s="18"/>
      <c r="F1053" s="10"/>
      <c r="G1053" s="47"/>
      <c r="H1053" s="48"/>
      <c r="I1053" s="18"/>
      <c r="J1053" s="10"/>
      <c r="Q1053" s="11"/>
    </row>
    <row r="1054" spans="1:17" s="1" customFormat="1" ht="13.8" x14ac:dyDescent="0.3">
      <c r="A1054" s="36"/>
      <c r="B1054" s="188" t="s">
        <v>472</v>
      </c>
      <c r="C1054" s="236">
        <f>(-M1059-SQRT(M1059^2-4*M1058*C1053))/(2*M1058)</f>
        <v>4.969389353120736E-4</v>
      </c>
      <c r="D1054" s="43"/>
      <c r="E1054" s="18"/>
      <c r="F1054" s="10"/>
      <c r="G1054" s="47"/>
      <c r="H1054" s="48"/>
      <c r="I1054" s="18"/>
      <c r="J1054" s="10"/>
      <c r="L1054" s="66" t="s">
        <v>34</v>
      </c>
      <c r="M1054" s="1">
        <v>0.9</v>
      </c>
      <c r="Q1054" s="11"/>
    </row>
    <row r="1055" spans="1:17" s="1" customFormat="1" ht="15.6" x14ac:dyDescent="0.35">
      <c r="A1055" s="36"/>
      <c r="B1055" s="188" t="s">
        <v>473</v>
      </c>
      <c r="C1055" s="169">
        <f>C1054*C1051*C1052*10000</f>
        <v>2.0871435283107092</v>
      </c>
      <c r="D1055" s="43"/>
      <c r="E1055" s="18"/>
      <c r="F1055" s="10"/>
      <c r="G1055" s="47"/>
      <c r="H1055" s="48"/>
      <c r="I1055" s="18"/>
      <c r="J1055" s="10"/>
      <c r="L1055" s="1" t="s">
        <v>474</v>
      </c>
      <c r="M1055" s="1">
        <v>420000</v>
      </c>
      <c r="Q1055" s="11"/>
    </row>
    <row r="1056" spans="1:17" s="1" customFormat="1" ht="13.8" x14ac:dyDescent="0.3">
      <c r="A1056" s="36"/>
      <c r="B1056" s="143" t="str">
        <f>CONCATENATE("#",L1047)</f>
        <v>#6</v>
      </c>
      <c r="C1056" s="173">
        <f>C1055/(M1047*0.01)</f>
        <v>0.73490969306715115</v>
      </c>
      <c r="D1056" s="43"/>
      <c r="E1056" s="18"/>
      <c r="F1056" s="10"/>
      <c r="G1056" s="47"/>
      <c r="H1056" s="48"/>
      <c r="I1056" s="18"/>
      <c r="J1056" s="10"/>
      <c r="L1056" s="1" t="s">
        <v>475</v>
      </c>
      <c r="M1056" s="67">
        <f>E7*1000</f>
        <v>21100</v>
      </c>
      <c r="Q1056" s="11"/>
    </row>
    <row r="1057" spans="1:17" s="1" customFormat="1" ht="13.8" x14ac:dyDescent="0.3">
      <c r="A1057" s="36"/>
      <c r="B1057" s="27" t="s">
        <v>476</v>
      </c>
      <c r="C1057" s="27">
        <f>MIN(ROUNDDOWN(100/C1056/5,0)*5,25)</f>
        <v>25</v>
      </c>
      <c r="D1057" s="43"/>
      <c r="E1057" s="18"/>
      <c r="F1057" s="10"/>
      <c r="G1057" s="47"/>
      <c r="H1057" s="48"/>
      <c r="I1057" s="18"/>
      <c r="J1057" s="10"/>
      <c r="Q1057" s="11"/>
    </row>
    <row r="1058" spans="1:17" s="1" customFormat="1" ht="13.8" x14ac:dyDescent="0.3">
      <c r="A1058" s="36"/>
      <c r="B1058" s="43"/>
      <c r="C1058" s="63"/>
      <c r="D1058" s="43"/>
      <c r="E1058" s="18"/>
      <c r="F1058" s="10"/>
      <c r="G1058" s="47"/>
      <c r="H1058" s="48"/>
      <c r="I1058" s="18"/>
      <c r="J1058" s="10"/>
      <c r="L1058" s="1" t="s">
        <v>5</v>
      </c>
      <c r="M1058" s="1">
        <f>M1054*0.59*M1055^2/M1056</f>
        <v>4439260.6635071086</v>
      </c>
      <c r="Q1058" s="11"/>
    </row>
    <row r="1059" spans="1:17" s="1" customFormat="1" ht="13.8" x14ac:dyDescent="0.3">
      <c r="A1059" s="36"/>
      <c r="B1059" s="27" t="str">
        <f>CONCATENATE("Se toma 1#",L1047," cada ",ROUNDDOWN(C1057/100,2)," m en la cara superior de la zapata.")</f>
        <v>Se toma 1#6 cada 0.25 m en la cara superior de la zapata.</v>
      </c>
      <c r="C1059" s="63"/>
      <c r="D1059" s="43"/>
      <c r="E1059" s="18"/>
      <c r="F1059" s="10"/>
      <c r="G1059" s="47"/>
      <c r="H1059" s="48"/>
      <c r="I1059" s="18"/>
      <c r="J1059" s="10"/>
      <c r="L1059" s="1" t="s">
        <v>4</v>
      </c>
      <c r="M1059" s="1">
        <f>-(M1054*M1055)</f>
        <v>-378000</v>
      </c>
      <c r="Q1059" s="11"/>
    </row>
    <row r="1060" spans="1:17" s="37" customFormat="1" x14ac:dyDescent="0.25">
      <c r="A1060" s="36"/>
      <c r="B1060" s="65"/>
      <c r="C1060" s="65"/>
      <c r="D1060" s="65"/>
      <c r="E1060" s="65"/>
      <c r="F1060" s="65"/>
      <c r="G1060" s="65"/>
      <c r="H1060" s="65"/>
      <c r="I1060" s="65"/>
      <c r="J1060" s="65"/>
      <c r="Q1060" s="11"/>
    </row>
    <row r="1061" spans="1:17" s="1" customFormat="1" x14ac:dyDescent="0.25">
      <c r="A1061" s="78">
        <f>A1026+1</f>
        <v>3</v>
      </c>
      <c r="B1061" s="27" t="s">
        <v>555</v>
      </c>
      <c r="C1061" s="37"/>
      <c r="D1061" s="10"/>
      <c r="E1061" s="10"/>
      <c r="F1061" s="10"/>
      <c r="G1061" s="45"/>
      <c r="H1061" s="45"/>
      <c r="I1061" s="18"/>
      <c r="J1061" s="10"/>
      <c r="Q1061" s="11"/>
    </row>
    <row r="1062" spans="1:17" s="37" customFormat="1" x14ac:dyDescent="0.25">
      <c r="A1062" s="36"/>
      <c r="B1062" s="65"/>
      <c r="C1062" s="65"/>
      <c r="D1062" s="65"/>
      <c r="E1062" s="65"/>
      <c r="F1062" s="65"/>
      <c r="G1062" s="65"/>
      <c r="H1062" s="65"/>
      <c r="I1062" s="65"/>
      <c r="J1062" s="65"/>
      <c r="Q1062" s="11"/>
    </row>
    <row r="1063" spans="1:17" s="1" customFormat="1" ht="15.6" x14ac:dyDescent="0.35">
      <c r="A1063" s="36"/>
      <c r="B1063" s="315">
        <v>234</v>
      </c>
      <c r="C1063" s="316"/>
      <c r="D1063" s="175" t="s">
        <v>490</v>
      </c>
      <c r="E1063" s="175" t="s">
        <v>491</v>
      </c>
      <c r="F1063" s="175" t="s">
        <v>490</v>
      </c>
      <c r="G1063" s="316">
        <v>1278</v>
      </c>
      <c r="H1063" s="317"/>
      <c r="I1063" s="27"/>
      <c r="J1063" s="27"/>
      <c r="Q1063" s="11"/>
    </row>
    <row r="1064" spans="1:17" s="1" customFormat="1" ht="13.8" x14ac:dyDescent="0.3">
      <c r="A1064" s="36"/>
      <c r="B1064" s="27"/>
      <c r="C1064" s="63"/>
      <c r="D1064" s="43"/>
      <c r="E1064" s="18"/>
      <c r="F1064" s="10"/>
      <c r="G1064" s="47"/>
      <c r="H1064" s="48"/>
      <c r="I1064" s="18"/>
      <c r="J1064" s="10"/>
      <c r="Q1064" s="11"/>
    </row>
    <row r="1065" spans="1:17" s="1" customFormat="1" ht="15.6" x14ac:dyDescent="0.35">
      <c r="A1065" s="36" t="s">
        <v>12</v>
      </c>
      <c r="B1065" s="27" t="s">
        <v>491</v>
      </c>
      <c r="C1065" s="27"/>
      <c r="D1065" s="27"/>
      <c r="E1065" s="27"/>
      <c r="F1065" s="27"/>
      <c r="G1065" s="69" t="s">
        <v>492</v>
      </c>
      <c r="H1065" s="69" t="s">
        <v>493</v>
      </c>
      <c r="I1065" s="27"/>
      <c r="J1065" s="27"/>
      <c r="Q1065" s="11"/>
    </row>
    <row r="1066" spans="1:17" s="1" customFormat="1" ht="15.6" x14ac:dyDescent="0.3">
      <c r="A1066" s="36"/>
      <c r="B1066" s="27"/>
      <c r="C1066" s="63"/>
      <c r="D1066" s="43"/>
      <c r="E1066" s="18"/>
      <c r="F1066" s="10"/>
      <c r="G1066" s="70" t="s">
        <v>494</v>
      </c>
      <c r="H1066" s="48"/>
      <c r="I1066" s="18"/>
      <c r="J1066" s="10"/>
      <c r="Q1066" s="11"/>
    </row>
    <row r="1067" spans="1:17" s="1" customFormat="1" ht="13.8" x14ac:dyDescent="0.3">
      <c r="A1067" s="36"/>
      <c r="B1067" s="27"/>
      <c r="C1067" s="63"/>
      <c r="D1067" s="43"/>
      <c r="E1067" s="18"/>
      <c r="F1067" s="10"/>
      <c r="G1067" s="47"/>
      <c r="H1067" s="48"/>
      <c r="I1067" s="18"/>
      <c r="J1067" s="10"/>
      <c r="Q1067" s="11"/>
    </row>
    <row r="1068" spans="1:17" s="37" customFormat="1" x14ac:dyDescent="0.25">
      <c r="A1068" s="36"/>
      <c r="B1068" s="65" t="s">
        <v>556</v>
      </c>
      <c r="C1068" s="65"/>
      <c r="D1068" s="65"/>
      <c r="E1068" s="65"/>
      <c r="F1068" s="65"/>
      <c r="G1068" s="65"/>
      <c r="H1068" s="65"/>
      <c r="I1068" s="65"/>
      <c r="J1068" s="65"/>
      <c r="Q1068" s="11"/>
    </row>
    <row r="1069" spans="1:17" s="37" customFormat="1" x14ac:dyDescent="0.25">
      <c r="A1069" s="36"/>
      <c r="B1069" s="65"/>
      <c r="C1069" s="65"/>
      <c r="D1069" s="65"/>
      <c r="E1069" s="65"/>
      <c r="F1069" s="65"/>
      <c r="G1069" s="65"/>
      <c r="H1069" s="65"/>
      <c r="I1069" s="65"/>
      <c r="J1069" s="65"/>
      <c r="Q1069" s="11"/>
    </row>
    <row r="1070" spans="1:17" s="1" customFormat="1" ht="13.8" x14ac:dyDescent="0.3">
      <c r="A1070" s="36" t="s">
        <v>12</v>
      </c>
      <c r="B1070" s="199" t="s">
        <v>4</v>
      </c>
      <c r="C1070" s="228"/>
      <c r="D1070" s="73"/>
      <c r="E1070" s="75"/>
      <c r="F1070" s="121"/>
      <c r="G1070" s="318">
        <f>Largo_estribo*1000</f>
        <v>3000</v>
      </c>
      <c r="H1070" s="319"/>
      <c r="I1070" s="18"/>
      <c r="J1070" s="10"/>
      <c r="Q1070" s="11"/>
    </row>
    <row r="1071" spans="1:17" s="1" customFormat="1" ht="13.8" x14ac:dyDescent="0.3">
      <c r="A1071" s="36" t="s">
        <v>12</v>
      </c>
      <c r="B1071" s="194" t="s">
        <v>2</v>
      </c>
      <c r="C1071" s="229"/>
      <c r="D1071" s="74"/>
      <c r="E1071" s="124"/>
      <c r="F1071" s="136"/>
      <c r="G1071" s="320">
        <f>Altura_talón_estribo*1000</f>
        <v>500</v>
      </c>
      <c r="H1071" s="321"/>
      <c r="I1071" s="18"/>
      <c r="J1071" s="10"/>
      <c r="Q1071" s="11"/>
    </row>
    <row r="1072" spans="1:17" s="1" customFormat="1" ht="15" x14ac:dyDescent="0.35">
      <c r="A1072" s="36" t="s">
        <v>12</v>
      </c>
      <c r="B1072" s="196" t="s">
        <v>557</v>
      </c>
      <c r="C1072" s="239"/>
      <c r="D1072" s="240"/>
      <c r="E1072" s="126"/>
      <c r="F1072" s="139"/>
      <c r="G1072" s="322">
        <f>420</f>
        <v>420</v>
      </c>
      <c r="H1072" s="323"/>
      <c r="I1072" s="18"/>
      <c r="J1072" s="10"/>
      <c r="Q1072" s="11"/>
    </row>
    <row r="1073" spans="1:17" s="37" customFormat="1" x14ac:dyDescent="0.25">
      <c r="A1073" s="36"/>
      <c r="B1073" s="65"/>
      <c r="C1073" s="65"/>
      <c r="D1073" s="65"/>
      <c r="E1073" s="65"/>
      <c r="F1073" s="65"/>
      <c r="G1073" s="65"/>
      <c r="H1073" s="65"/>
      <c r="I1073" s="65"/>
      <c r="J1073" s="65"/>
      <c r="L1073" s="1"/>
      <c r="M1073" s="1"/>
      <c r="N1073" s="1"/>
      <c r="O1073" s="1" t="s">
        <v>582</v>
      </c>
      <c r="P1073" s="11" t="s">
        <v>583</v>
      </c>
      <c r="Q1073" s="11"/>
    </row>
    <row r="1074" spans="1:17" s="37" customFormat="1" x14ac:dyDescent="0.25">
      <c r="A1074" s="36"/>
      <c r="B1074" s="59" t="s">
        <v>496</v>
      </c>
      <c r="C1074" s="65"/>
      <c r="D1074" s="65"/>
      <c r="E1074" s="65"/>
      <c r="F1074" s="65"/>
      <c r="G1074" s="65"/>
      <c r="H1074" s="65"/>
      <c r="I1074" s="65"/>
      <c r="J1074" s="65"/>
      <c r="L1074" s="1" t="s">
        <v>584</v>
      </c>
      <c r="M1074" s="1" t="s">
        <v>583</v>
      </c>
      <c r="N1074" s="1"/>
      <c r="O1074" s="1">
        <v>3</v>
      </c>
      <c r="P1074" s="11">
        <v>71</v>
      </c>
      <c r="Q1074" s="11"/>
    </row>
    <row r="1075" spans="1:17" s="37" customFormat="1" x14ac:dyDescent="0.25">
      <c r="A1075" s="36"/>
      <c r="B1075" s="65"/>
      <c r="C1075" s="65"/>
      <c r="D1075" s="65"/>
      <c r="E1075" s="65"/>
      <c r="F1075" s="65"/>
      <c r="G1075" s="65"/>
      <c r="H1075" s="65"/>
      <c r="I1075" s="65"/>
      <c r="J1075" s="65"/>
      <c r="L1075" s="1">
        <v>4</v>
      </c>
      <c r="M1075" s="1">
        <f>VLOOKUP(L1075,$O$1046:$P$1051,2,FALSE)</f>
        <v>129</v>
      </c>
      <c r="N1075" s="1"/>
      <c r="O1075" s="1">
        <v>4</v>
      </c>
      <c r="P1075" s="11">
        <v>129</v>
      </c>
      <c r="Q1075" s="11"/>
    </row>
    <row r="1076" spans="1:17" s="1" customFormat="1" ht="15.6" x14ac:dyDescent="0.35">
      <c r="A1076" s="36" t="s">
        <v>12</v>
      </c>
      <c r="B1076" s="174" t="s">
        <v>491</v>
      </c>
      <c r="C1076" s="175"/>
      <c r="D1076" s="175"/>
      <c r="E1076" s="175"/>
      <c r="F1076" s="175"/>
      <c r="G1076" s="312">
        <f>750*G1070*G1071/(2*(G1070+G1071)*G1072)</f>
        <v>382.65306122448982</v>
      </c>
      <c r="H1076" s="313"/>
      <c r="I1076" s="27"/>
      <c r="J1076" s="27"/>
      <c r="O1076" s="1">
        <v>5</v>
      </c>
      <c r="P1076" s="11">
        <v>199</v>
      </c>
      <c r="Q1076" s="11"/>
    </row>
    <row r="1077" spans="1:17" s="37" customFormat="1" x14ac:dyDescent="0.25">
      <c r="A1077" s="36"/>
      <c r="B1077" s="65"/>
      <c r="C1077" s="65"/>
      <c r="D1077" s="65"/>
      <c r="E1077" s="65"/>
      <c r="F1077" s="65"/>
      <c r="G1077" s="65"/>
      <c r="H1077" s="65"/>
      <c r="I1077" s="65"/>
      <c r="J1077" s="65"/>
      <c r="L1077" s="1"/>
      <c r="M1077" s="1"/>
      <c r="N1077" s="1"/>
      <c r="O1077" s="1">
        <v>6</v>
      </c>
      <c r="P1077" s="11">
        <v>284</v>
      </c>
      <c r="Q1077" s="11"/>
    </row>
    <row r="1078" spans="1:17" s="37" customFormat="1" x14ac:dyDescent="0.25">
      <c r="A1078" s="36"/>
      <c r="B1078" s="59" t="str">
        <f>CONCATENATE("1#",L1075," cada ",ROUNDDOWN(1/ROUNDUP(G1076/M1075,0),2)," m en ambas caras de la zapata (",ROUNDUP(G1076/M1075,0),"*",M1075," mm²=",ROUNDUP(G1076/M1075,0)*M1075, " mm²&gt;",B1063," mm².")</f>
        <v>1#4 cada 0.33 m en ambas caras de la zapata (3*129 mm²=387 mm²&gt;234 mm².</v>
      </c>
      <c r="C1078" s="65"/>
      <c r="D1078" s="65"/>
      <c r="E1078" s="65"/>
      <c r="F1078" s="65"/>
      <c r="G1078" s="65"/>
      <c r="H1078" s="65"/>
      <c r="I1078" s="65"/>
      <c r="J1078" s="65"/>
      <c r="L1078" s="1"/>
      <c r="M1078" s="1"/>
      <c r="N1078" s="1"/>
      <c r="O1078" s="1">
        <v>7</v>
      </c>
      <c r="P1078" s="11">
        <v>387</v>
      </c>
      <c r="Q1078" s="11"/>
    </row>
    <row r="1079" spans="1:17" s="37" customFormat="1" x14ac:dyDescent="0.25">
      <c r="A1079" s="36"/>
      <c r="B1079" s="65"/>
      <c r="C1079" s="65"/>
      <c r="D1079" s="65"/>
      <c r="E1079" s="65"/>
      <c r="F1079" s="65"/>
      <c r="G1079" s="65"/>
      <c r="H1079" s="65"/>
      <c r="I1079" s="65"/>
      <c r="J1079" s="65"/>
      <c r="L1079" s="1"/>
      <c r="M1079" s="1"/>
      <c r="N1079" s="1"/>
      <c r="O1079" s="1">
        <v>8</v>
      </c>
      <c r="P1079" s="11">
        <v>510</v>
      </c>
      <c r="Q1079" s="11"/>
    </row>
    <row r="1080" spans="1:17" s="37" customFormat="1" x14ac:dyDescent="0.25">
      <c r="A1080" s="36"/>
      <c r="B1080" s="59"/>
      <c r="C1080" s="59"/>
      <c r="D1080" s="59"/>
      <c r="E1080" s="59"/>
      <c r="F1080" s="59"/>
      <c r="G1080" s="59"/>
      <c r="H1080" s="59"/>
      <c r="I1080" s="59"/>
      <c r="J1080" s="59"/>
      <c r="Q1080" s="11"/>
    </row>
    <row r="1081" spans="1:17" s="37" customFormat="1" x14ac:dyDescent="0.25">
      <c r="A1081" s="36"/>
      <c r="B1081" s="59"/>
      <c r="C1081" s="59"/>
      <c r="D1081" s="59"/>
      <c r="E1081" s="59"/>
      <c r="F1081" s="59"/>
      <c r="G1081" s="59"/>
      <c r="H1081" s="59"/>
      <c r="I1081" s="59"/>
      <c r="J1081" s="59"/>
      <c r="Q1081" s="11"/>
    </row>
    <row r="1082" spans="1:17" s="37" customFormat="1" x14ac:dyDescent="0.25">
      <c r="A1082" s="36"/>
      <c r="B1082" s="59"/>
      <c r="C1082" s="59"/>
      <c r="D1082" s="59"/>
      <c r="E1082" s="59"/>
      <c r="F1082" s="59"/>
      <c r="G1082" s="59"/>
      <c r="H1082" s="59"/>
      <c r="I1082" s="59"/>
      <c r="J1082" s="59"/>
      <c r="Q1082" s="11"/>
    </row>
    <row r="1083" spans="1:17" s="37" customFormat="1" x14ac:dyDescent="0.25">
      <c r="A1083" s="36"/>
      <c r="B1083" s="59"/>
      <c r="C1083" s="59"/>
      <c r="D1083" s="59"/>
      <c r="E1083" s="59"/>
      <c r="F1083" s="59"/>
      <c r="G1083" s="59"/>
      <c r="H1083" s="59"/>
      <c r="I1083" s="59"/>
      <c r="J1083" s="59"/>
      <c r="Q1083" s="11"/>
    </row>
  </sheetData>
  <mergeCells count="250">
    <mergeCell ref="G17:I17"/>
    <mergeCell ref="C545:D545"/>
    <mergeCell ref="F545:G545"/>
    <mergeCell ref="G14:H14"/>
    <mergeCell ref="G15:H15"/>
    <mergeCell ref="B27:I31"/>
    <mergeCell ref="B35:I41"/>
    <mergeCell ref="G135:H135"/>
    <mergeCell ref="G133:H133"/>
    <mergeCell ref="G139:H139"/>
    <mergeCell ref="G157:H157"/>
    <mergeCell ref="G181:H181"/>
    <mergeCell ref="G16:H16"/>
    <mergeCell ref="G137:H137"/>
    <mergeCell ref="G116:H116"/>
    <mergeCell ref="G251:H251"/>
    <mergeCell ref="G252:H252"/>
    <mergeCell ref="G255:H255"/>
    <mergeCell ref="G261:H261"/>
    <mergeCell ref="B263:J267"/>
    <mergeCell ref="G271:H271"/>
    <mergeCell ref="G185:H185"/>
    <mergeCell ref="G199:H199"/>
    <mergeCell ref="G204:H204"/>
    <mergeCell ref="G225:H225"/>
    <mergeCell ref="B238:J241"/>
    <mergeCell ref="B243:J244"/>
    <mergeCell ref="G308:H308"/>
    <mergeCell ref="G309:H309"/>
    <mergeCell ref="B313:J317"/>
    <mergeCell ref="B319:J324"/>
    <mergeCell ref="B332:J333"/>
    <mergeCell ref="B343:J344"/>
    <mergeCell ref="G272:H272"/>
    <mergeCell ref="G276:H276"/>
    <mergeCell ref="G277:H277"/>
    <mergeCell ref="G299:H299"/>
    <mergeCell ref="G300:H300"/>
    <mergeCell ref="G304:H304"/>
    <mergeCell ref="G412:H412"/>
    <mergeCell ref="G418:H418"/>
    <mergeCell ref="G419:H419"/>
    <mergeCell ref="G420:H420"/>
    <mergeCell ref="G426:H426"/>
    <mergeCell ref="G430:H430"/>
    <mergeCell ref="B347:J348"/>
    <mergeCell ref="B355:J356"/>
    <mergeCell ref="B362:J364"/>
    <mergeCell ref="G400:H400"/>
    <mergeCell ref="G404:H404"/>
    <mergeCell ref="G408:H408"/>
    <mergeCell ref="C461:J463"/>
    <mergeCell ref="C464:J465"/>
    <mergeCell ref="G468:H468"/>
    <mergeCell ref="G469:H469"/>
    <mergeCell ref="G470:H470"/>
    <mergeCell ref="G472:H472"/>
    <mergeCell ref="B432:J433"/>
    <mergeCell ref="B435:J437"/>
    <mergeCell ref="B439:J440"/>
    <mergeCell ref="G448:H448"/>
    <mergeCell ref="B452:J455"/>
    <mergeCell ref="G459:H459"/>
    <mergeCell ref="C492:D492"/>
    <mergeCell ref="C493:D493"/>
    <mergeCell ref="C494:D494"/>
    <mergeCell ref="G503:H503"/>
    <mergeCell ref="C504:F506"/>
    <mergeCell ref="B513:J514"/>
    <mergeCell ref="B474:J476"/>
    <mergeCell ref="B481:J482"/>
    <mergeCell ref="G484:H484"/>
    <mergeCell ref="C488:D488"/>
    <mergeCell ref="C489:D489"/>
    <mergeCell ref="C490:D490"/>
    <mergeCell ref="C540:D540"/>
    <mergeCell ref="F540:G540"/>
    <mergeCell ref="C541:D541"/>
    <mergeCell ref="F541:G541"/>
    <mergeCell ref="C542:D542"/>
    <mergeCell ref="F542:G542"/>
    <mergeCell ref="B524:J525"/>
    <mergeCell ref="C537:D537"/>
    <mergeCell ref="F537:G537"/>
    <mergeCell ref="C538:D538"/>
    <mergeCell ref="F538:G538"/>
    <mergeCell ref="C539:D539"/>
    <mergeCell ref="F539:G539"/>
    <mergeCell ref="C549:D549"/>
    <mergeCell ref="F549:G549"/>
    <mergeCell ref="C550:D550"/>
    <mergeCell ref="F550:G550"/>
    <mergeCell ref="C551:D551"/>
    <mergeCell ref="F551:G551"/>
    <mergeCell ref="C546:D546"/>
    <mergeCell ref="F546:G546"/>
    <mergeCell ref="C547:D547"/>
    <mergeCell ref="F547:G547"/>
    <mergeCell ref="C548:D548"/>
    <mergeCell ref="F548:G548"/>
    <mergeCell ref="C555:D555"/>
    <mergeCell ref="F555:G555"/>
    <mergeCell ref="C556:D556"/>
    <mergeCell ref="F556:G556"/>
    <mergeCell ref="I571:I572"/>
    <mergeCell ref="J571:J572"/>
    <mergeCell ref="C552:D552"/>
    <mergeCell ref="F552:G552"/>
    <mergeCell ref="C553:D553"/>
    <mergeCell ref="F553:G553"/>
    <mergeCell ref="C554:D554"/>
    <mergeCell ref="F554:G554"/>
    <mergeCell ref="B581:B582"/>
    <mergeCell ref="I581:I582"/>
    <mergeCell ref="J581:J582"/>
    <mergeCell ref="B584:J585"/>
    <mergeCell ref="I588:I589"/>
    <mergeCell ref="J588:J589"/>
    <mergeCell ref="B573:B574"/>
    <mergeCell ref="I573:I574"/>
    <mergeCell ref="J573:J576"/>
    <mergeCell ref="B575:B576"/>
    <mergeCell ref="I575:I576"/>
    <mergeCell ref="B577:B578"/>
    <mergeCell ref="I577:I578"/>
    <mergeCell ref="J577:J580"/>
    <mergeCell ref="B579:B580"/>
    <mergeCell ref="I579:I580"/>
    <mergeCell ref="B598:B599"/>
    <mergeCell ref="I598:I599"/>
    <mergeCell ref="J598:J599"/>
    <mergeCell ref="B601:J602"/>
    <mergeCell ref="H605:H606"/>
    <mergeCell ref="I605:I606"/>
    <mergeCell ref="B590:B591"/>
    <mergeCell ref="I590:I591"/>
    <mergeCell ref="J590:J593"/>
    <mergeCell ref="B592:B593"/>
    <mergeCell ref="I592:I593"/>
    <mergeCell ref="B594:B595"/>
    <mergeCell ref="I594:I595"/>
    <mergeCell ref="J594:J597"/>
    <mergeCell ref="B596:B597"/>
    <mergeCell ref="I596:I597"/>
    <mergeCell ref="B615:B616"/>
    <mergeCell ref="H615:H616"/>
    <mergeCell ref="I615:I616"/>
    <mergeCell ref="B618:J619"/>
    <mergeCell ref="H622:H623"/>
    <mergeCell ref="I622:I623"/>
    <mergeCell ref="B607:B608"/>
    <mergeCell ref="H607:H608"/>
    <mergeCell ref="I607:I610"/>
    <mergeCell ref="B609:B610"/>
    <mergeCell ref="H609:H610"/>
    <mergeCell ref="B611:B612"/>
    <mergeCell ref="H611:H612"/>
    <mergeCell ref="I611:I614"/>
    <mergeCell ref="B613:B614"/>
    <mergeCell ref="H613:H614"/>
    <mergeCell ref="B632:B633"/>
    <mergeCell ref="H632:H633"/>
    <mergeCell ref="I632:I633"/>
    <mergeCell ref="B637:J641"/>
    <mergeCell ref="B643:J645"/>
    <mergeCell ref="B651:J652"/>
    <mergeCell ref="B624:B625"/>
    <mergeCell ref="H624:H625"/>
    <mergeCell ref="I624:I627"/>
    <mergeCell ref="B626:B627"/>
    <mergeCell ref="H626:H627"/>
    <mergeCell ref="B628:B629"/>
    <mergeCell ref="H628:H629"/>
    <mergeCell ref="I628:I631"/>
    <mergeCell ref="B630:B631"/>
    <mergeCell ref="H630:H631"/>
    <mergeCell ref="B690:J692"/>
    <mergeCell ref="B696:J697"/>
    <mergeCell ref="B699:J700"/>
    <mergeCell ref="A710:A711"/>
    <mergeCell ref="B713:J716"/>
    <mergeCell ref="A719:A720"/>
    <mergeCell ref="B656:B657"/>
    <mergeCell ref="B659:J661"/>
    <mergeCell ref="B665:J669"/>
    <mergeCell ref="B673:B674"/>
    <mergeCell ref="B678:J679"/>
    <mergeCell ref="B681:J682"/>
    <mergeCell ref="B767:J769"/>
    <mergeCell ref="B779:B780"/>
    <mergeCell ref="B781:B782"/>
    <mergeCell ref="B786:J787"/>
    <mergeCell ref="B789:J791"/>
    <mergeCell ref="B793:J794"/>
    <mergeCell ref="B729:J731"/>
    <mergeCell ref="A736:A737"/>
    <mergeCell ref="B741:J744"/>
    <mergeCell ref="B746:J747"/>
    <mergeCell ref="C751:F752"/>
    <mergeCell ref="B754:J755"/>
    <mergeCell ref="B837:J838"/>
    <mergeCell ref="G844:H844"/>
    <mergeCell ref="B845:J846"/>
    <mergeCell ref="G848:H848"/>
    <mergeCell ref="I849:J849"/>
    <mergeCell ref="G871:H871"/>
    <mergeCell ref="G798:H798"/>
    <mergeCell ref="G803:H803"/>
    <mergeCell ref="G808:H808"/>
    <mergeCell ref="G815:H815"/>
    <mergeCell ref="G823:H823"/>
    <mergeCell ref="G824:H824"/>
    <mergeCell ref="G972:H972"/>
    <mergeCell ref="G973:H973"/>
    <mergeCell ref="G896:H896"/>
    <mergeCell ref="B902:J903"/>
    <mergeCell ref="C914:J915"/>
    <mergeCell ref="G925:H925"/>
    <mergeCell ref="G926:H926"/>
    <mergeCell ref="G931:H931"/>
    <mergeCell ref="G872:H872"/>
    <mergeCell ref="G876:H876"/>
    <mergeCell ref="I877:J877"/>
    <mergeCell ref="B883:J885"/>
    <mergeCell ref="B887:C887"/>
    <mergeCell ref="G887:H887"/>
    <mergeCell ref="B23:I23"/>
    <mergeCell ref="G1076:H1076"/>
    <mergeCell ref="I1048:J1048"/>
    <mergeCell ref="B1063:C1063"/>
    <mergeCell ref="G1063:H1063"/>
    <mergeCell ref="G1070:H1070"/>
    <mergeCell ref="G1071:H1071"/>
    <mergeCell ref="G1072:H1072"/>
    <mergeCell ref="G1031:H1031"/>
    <mergeCell ref="G1037:H1037"/>
    <mergeCell ref="G1038:H1038"/>
    <mergeCell ref="G1042:H1042"/>
    <mergeCell ref="I1043:J1043"/>
    <mergeCell ref="G1047:H1047"/>
    <mergeCell ref="G977:H977"/>
    <mergeCell ref="I978:J978"/>
    <mergeCell ref="G982:H982"/>
    <mergeCell ref="G998:H998"/>
    <mergeCell ref="B1000:J1003"/>
    <mergeCell ref="B1028:J1029"/>
    <mergeCell ref="G935:H935"/>
    <mergeCell ref="G947:H947"/>
    <mergeCell ref="G951:H951"/>
    <mergeCell ref="G966:H966"/>
  </mergeCells>
  <printOptions horizontalCentered="1"/>
  <pageMargins left="0.7" right="0.7" top="0.75" bottom="0.75" header="0.3" footer="0.3"/>
  <pageSetup scale="98" fitToHeight="8" orientation="portrait" r:id="rId1"/>
  <headerFooter scaleWithDoc="0" alignWithMargins="0">
    <oddFooter>&amp;L&amp;9&amp;A&amp;C&amp;9 31/08/2017&amp;R&amp;9Página &amp;P de &amp;N</oddFooter>
  </headerFooter>
  <legacyDrawingHF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24"/>
  <sheetViews>
    <sheetView workbookViewId="0"/>
  </sheetViews>
  <sheetFormatPr defaultRowHeight="14.4" x14ac:dyDescent="0.3"/>
  <sheetData>
    <row r="1" spans="1:4" x14ac:dyDescent="0.3">
      <c r="A1" s="2" t="s">
        <v>378</v>
      </c>
      <c r="B1" s="2"/>
      <c r="C1" s="2"/>
      <c r="D1" s="3"/>
    </row>
    <row r="2" spans="1:4" x14ac:dyDescent="0.3">
      <c r="A2" s="37" t="s">
        <v>568</v>
      </c>
      <c r="B2" s="1"/>
      <c r="C2" s="1"/>
      <c r="D2" s="1" t="str">
        <f>abutment!J518</f>
        <v>Cumple</v>
      </c>
    </row>
    <row r="3" spans="1:4" x14ac:dyDescent="0.3">
      <c r="A3" s="37" t="s">
        <v>571</v>
      </c>
      <c r="B3" s="1"/>
      <c r="C3" s="1"/>
      <c r="D3" s="1"/>
    </row>
    <row r="4" spans="1:4" x14ac:dyDescent="0.3">
      <c r="A4" s="1"/>
      <c r="B4" s="37" t="s">
        <v>572</v>
      </c>
      <c r="C4" s="1"/>
      <c r="D4" s="1" t="str">
        <f>abutment!J656</f>
        <v>Sí</v>
      </c>
    </row>
    <row r="5" spans="1:4" x14ac:dyDescent="0.3">
      <c r="A5" s="1"/>
      <c r="B5" s="37" t="s">
        <v>573</v>
      </c>
      <c r="C5" s="1"/>
      <c r="D5" s="1" t="str">
        <f>abutment!J657</f>
        <v>Sí</v>
      </c>
    </row>
    <row r="6" spans="1:4" x14ac:dyDescent="0.3">
      <c r="A6" s="1"/>
      <c r="B6" s="37" t="s">
        <v>574</v>
      </c>
      <c r="C6" s="1"/>
      <c r="D6" s="1" t="str">
        <f>abutment!J673</f>
        <v>Sí</v>
      </c>
    </row>
    <row r="7" spans="1:4" x14ac:dyDescent="0.3">
      <c r="A7" s="1"/>
      <c r="B7" s="37" t="s">
        <v>575</v>
      </c>
      <c r="C7" s="1"/>
      <c r="D7" s="1" t="str">
        <f>abutment!J674</f>
        <v>Sí</v>
      </c>
    </row>
    <row r="8" spans="1:4" x14ac:dyDescent="0.3">
      <c r="A8" s="37" t="s">
        <v>386</v>
      </c>
      <c r="B8" s="37"/>
      <c r="C8" s="1"/>
      <c r="D8" s="1"/>
    </row>
    <row r="9" spans="1:4" x14ac:dyDescent="0.3">
      <c r="A9" s="1"/>
      <c r="B9" s="37" t="s">
        <v>572</v>
      </c>
      <c r="C9" s="1"/>
      <c r="D9" s="1" t="str">
        <f>abutment!J710</f>
        <v>Sí</v>
      </c>
    </row>
    <row r="10" spans="1:4" x14ac:dyDescent="0.3">
      <c r="A10" s="1"/>
      <c r="B10" s="37" t="s">
        <v>573</v>
      </c>
      <c r="C10" s="1"/>
      <c r="D10" s="1" t="str">
        <f>abutment!J711</f>
        <v>Sí</v>
      </c>
    </row>
    <row r="11" spans="1:4" x14ac:dyDescent="0.3">
      <c r="A11" s="1"/>
      <c r="B11" s="37" t="s">
        <v>574</v>
      </c>
      <c r="C11" s="1"/>
      <c r="D11" s="1" t="str">
        <f>abutment!J719</f>
        <v>Cumple</v>
      </c>
    </row>
    <row r="12" spans="1:4" x14ac:dyDescent="0.3">
      <c r="A12" s="1"/>
      <c r="B12" s="37" t="s">
        <v>575</v>
      </c>
      <c r="C12" s="1"/>
      <c r="D12" s="1" t="str">
        <f>abutment!J720</f>
        <v>Cumple</v>
      </c>
    </row>
    <row r="13" spans="1:4" ht="26.4" x14ac:dyDescent="0.3">
      <c r="A13" s="1"/>
      <c r="B13" s="1" t="s">
        <v>576</v>
      </c>
      <c r="C13" s="1"/>
      <c r="D13" s="1" t="str">
        <f>abutment!J725</f>
        <v>Cumple</v>
      </c>
    </row>
    <row r="14" spans="1:4" ht="27" x14ac:dyDescent="0.3">
      <c r="A14" s="19" t="s">
        <v>580</v>
      </c>
      <c r="B14" s="16"/>
      <c r="C14" s="16"/>
      <c r="D14" s="16"/>
    </row>
    <row r="15" spans="1:4" x14ac:dyDescent="0.3">
      <c r="A15" s="1"/>
      <c r="B15" s="37" t="s">
        <v>572</v>
      </c>
      <c r="C15" s="1"/>
      <c r="D15" s="67" t="str">
        <f>abutment!G779</f>
        <v>Sí</v>
      </c>
    </row>
    <row r="16" spans="1:4" x14ac:dyDescent="0.3">
      <c r="A16" s="1"/>
      <c r="B16" s="37" t="s">
        <v>573</v>
      </c>
      <c r="C16" s="1"/>
      <c r="D16" s="67" t="str">
        <f>abutment!G780</f>
        <v>No</v>
      </c>
    </row>
    <row r="17" spans="1:4" x14ac:dyDescent="0.3">
      <c r="A17" s="1"/>
      <c r="B17" s="37" t="s">
        <v>574</v>
      </c>
      <c r="C17" s="1"/>
      <c r="D17" s="67" t="str">
        <f>abutment!G781</f>
        <v>No</v>
      </c>
    </row>
    <row r="18" spans="1:4" x14ac:dyDescent="0.3">
      <c r="A18" s="1"/>
      <c r="B18" s="37" t="s">
        <v>575</v>
      </c>
      <c r="C18" s="1"/>
      <c r="D18" s="67" t="str">
        <f>abutment!G782</f>
        <v>No</v>
      </c>
    </row>
    <row r="19" spans="1:4" x14ac:dyDescent="0.3">
      <c r="A19" s="82" t="s">
        <v>581</v>
      </c>
      <c r="B19" s="1"/>
      <c r="C19" s="1"/>
      <c r="D19" s="1"/>
    </row>
    <row r="20" spans="1:4" x14ac:dyDescent="0.3">
      <c r="A20" s="1"/>
      <c r="B20" s="1"/>
      <c r="C20" s="1"/>
      <c r="D20" s="1" t="str">
        <f>IF(abutment!H877="&lt;","Sí","No")</f>
        <v>No</v>
      </c>
    </row>
    <row r="21" spans="1:4" x14ac:dyDescent="0.3">
      <c r="A21" s="37" t="s">
        <v>586</v>
      </c>
      <c r="B21" s="1"/>
      <c r="C21" s="1"/>
      <c r="D21" s="1"/>
    </row>
    <row r="22" spans="1:4" ht="26.4" x14ac:dyDescent="0.3">
      <c r="A22" s="1"/>
      <c r="B22" s="1"/>
      <c r="C22" s="1"/>
      <c r="D22" s="1" t="str">
        <f>abutment!J956</f>
        <v>No cumple</v>
      </c>
    </row>
    <row r="23" spans="1:4" x14ac:dyDescent="0.3">
      <c r="A23" s="37" t="s">
        <v>587</v>
      </c>
      <c r="B23" s="1"/>
      <c r="C23" s="1"/>
      <c r="D23" s="1"/>
    </row>
    <row r="24" spans="1:4" x14ac:dyDescent="0.3">
      <c r="A24" s="1"/>
      <c r="B24" s="1"/>
      <c r="C24" s="1"/>
      <c r="D24" s="1" t="str">
        <f>abutment!J1022</f>
        <v>Cumple</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CU13"/>
  <sheetViews>
    <sheetView workbookViewId="0"/>
  </sheetViews>
  <sheetFormatPr defaultRowHeight="14.4" x14ac:dyDescent="0.3"/>
  <sheetData>
    <row r="1" spans="2:99" x14ac:dyDescent="0.3">
      <c r="B1" s="421" t="s">
        <v>596</v>
      </c>
      <c r="C1" s="421"/>
      <c r="D1" s="421"/>
      <c r="E1" s="421"/>
      <c r="F1" s="421"/>
      <c r="G1" s="421"/>
      <c r="H1" s="85"/>
      <c r="BI1" t="s">
        <v>615</v>
      </c>
    </row>
    <row r="2" spans="2:99" x14ac:dyDescent="0.3">
      <c r="B2" t="s">
        <v>0</v>
      </c>
      <c r="C2" t="s">
        <v>1</v>
      </c>
      <c r="D2" t="s">
        <v>2</v>
      </c>
      <c r="E2" t="s">
        <v>3</v>
      </c>
      <c r="F2" t="s">
        <v>4</v>
      </c>
      <c r="G2" t="s">
        <v>567</v>
      </c>
      <c r="H2" t="s">
        <v>597</v>
      </c>
      <c r="I2" t="s">
        <v>598</v>
      </c>
      <c r="J2" t="s">
        <v>599</v>
      </c>
      <c r="K2" t="s">
        <v>600</v>
      </c>
      <c r="L2" t="s">
        <v>601</v>
      </c>
      <c r="M2" t="s">
        <v>597</v>
      </c>
      <c r="N2" t="s">
        <v>188</v>
      </c>
      <c r="O2" t="s">
        <v>600</v>
      </c>
      <c r="P2" t="s">
        <v>602</v>
      </c>
      <c r="Q2" t="s">
        <v>603</v>
      </c>
      <c r="R2" t="s">
        <v>4</v>
      </c>
      <c r="S2" t="s">
        <v>3</v>
      </c>
      <c r="T2" t="s">
        <v>604</v>
      </c>
      <c r="U2" t="s">
        <v>5</v>
      </c>
      <c r="V2" t="s">
        <v>4</v>
      </c>
      <c r="W2" t="s">
        <v>605</v>
      </c>
      <c r="X2" t="s">
        <v>606</v>
      </c>
      <c r="Y2" t="s">
        <v>607</v>
      </c>
      <c r="Z2" t="s">
        <v>68</v>
      </c>
      <c r="AA2" t="s">
        <v>608</v>
      </c>
      <c r="AC2" t="s">
        <v>0</v>
      </c>
      <c r="AD2" s="418" t="s">
        <v>560</v>
      </c>
      <c r="AE2" s="419"/>
      <c r="AF2" s="419"/>
      <c r="AG2" s="419"/>
      <c r="AH2" s="419"/>
      <c r="AI2" s="420"/>
      <c r="AJ2" s="418" t="s">
        <v>561</v>
      </c>
      <c r="AK2" s="419"/>
      <c r="AL2" s="419"/>
      <c r="AM2" s="419"/>
      <c r="AN2" s="419"/>
      <c r="AO2" s="420"/>
      <c r="AP2" s="418" t="s">
        <v>562</v>
      </c>
      <c r="AQ2" s="419"/>
      <c r="AR2" s="419"/>
      <c r="AS2" s="419"/>
      <c r="AT2" s="419"/>
      <c r="AU2" s="420"/>
      <c r="AV2" s="418" t="s">
        <v>563</v>
      </c>
      <c r="AW2" s="419"/>
      <c r="AX2" s="419"/>
      <c r="AY2" s="419"/>
      <c r="AZ2" s="419"/>
      <c r="BA2" s="420"/>
      <c r="BB2" s="418" t="s">
        <v>564</v>
      </c>
      <c r="BC2" s="419"/>
      <c r="BD2" s="419"/>
      <c r="BE2" s="419"/>
      <c r="BF2" s="419"/>
      <c r="BG2" s="420"/>
      <c r="BH2" s="86"/>
      <c r="BI2" s="86" t="s">
        <v>593</v>
      </c>
      <c r="BJ2" s="86" t="s">
        <v>594</v>
      </c>
      <c r="BK2" s="86"/>
      <c r="BL2" s="86"/>
      <c r="BM2" s="86"/>
      <c r="BN2" s="86"/>
      <c r="BO2" s="86"/>
      <c r="BP2" s="86"/>
      <c r="BQ2" s="86"/>
      <c r="BR2" s="86"/>
      <c r="BS2" s="86"/>
      <c r="BT2" s="86"/>
      <c r="BU2" s="86"/>
      <c r="BV2" t="s">
        <v>565</v>
      </c>
      <c r="BW2" t="s">
        <v>566</v>
      </c>
      <c r="BX2" t="s">
        <v>591</v>
      </c>
      <c r="CQ2" t="s">
        <v>609</v>
      </c>
      <c r="CR2" t="s">
        <v>598</v>
      </c>
      <c r="CT2" s="1" t="s">
        <v>582</v>
      </c>
      <c r="CU2" s="1" t="s">
        <v>583</v>
      </c>
    </row>
    <row r="3" spans="2:99" x14ac:dyDescent="0.3">
      <c r="B3" t="s">
        <v>8</v>
      </c>
      <c r="C3" t="s">
        <v>8</v>
      </c>
      <c r="D3" t="s">
        <v>8</v>
      </c>
      <c r="E3" t="s">
        <v>8</v>
      </c>
      <c r="F3" t="s">
        <v>8</v>
      </c>
      <c r="G3" t="s">
        <v>8</v>
      </c>
      <c r="H3" t="s">
        <v>610</v>
      </c>
      <c r="I3" t="s">
        <v>8</v>
      </c>
      <c r="J3" t="s">
        <v>8</v>
      </c>
      <c r="K3" t="s">
        <v>8</v>
      </c>
      <c r="L3" t="s">
        <v>8</v>
      </c>
      <c r="M3" t="s">
        <v>610</v>
      </c>
      <c r="N3" t="s">
        <v>8</v>
      </c>
      <c r="O3" t="s">
        <v>8</v>
      </c>
      <c r="P3" t="s">
        <v>8</v>
      </c>
      <c r="Q3" t="s">
        <v>8</v>
      </c>
      <c r="R3" t="s">
        <v>8</v>
      </c>
      <c r="S3" t="s">
        <v>8</v>
      </c>
      <c r="T3" t="s">
        <v>611</v>
      </c>
      <c r="U3" t="s">
        <v>611</v>
      </c>
      <c r="V3" t="s">
        <v>611</v>
      </c>
      <c r="W3" t="s">
        <v>610</v>
      </c>
      <c r="X3" t="s">
        <v>612</v>
      </c>
      <c r="Y3" t="s">
        <v>590</v>
      </c>
      <c r="Z3" t="s">
        <v>610</v>
      </c>
      <c r="AA3" t="s">
        <v>613</v>
      </c>
      <c r="AC3" t="s">
        <v>8</v>
      </c>
      <c r="AD3" s="87" t="s">
        <v>590</v>
      </c>
      <c r="AE3" s="88" t="s">
        <v>499</v>
      </c>
      <c r="AF3" s="88" t="s">
        <v>7</v>
      </c>
      <c r="AG3" s="88" t="s">
        <v>558</v>
      </c>
      <c r="AH3" s="88" t="s">
        <v>559</v>
      </c>
      <c r="AI3" s="89" t="s">
        <v>589</v>
      </c>
      <c r="AJ3" s="87" t="s">
        <v>590</v>
      </c>
      <c r="AK3" s="88" t="s">
        <v>499</v>
      </c>
      <c r="AL3" s="88" t="s">
        <v>7</v>
      </c>
      <c r="AM3" s="88" t="s">
        <v>558</v>
      </c>
      <c r="AN3" s="88" t="s">
        <v>559</v>
      </c>
      <c r="AO3" s="89" t="s">
        <v>589</v>
      </c>
      <c r="AP3" s="87" t="s">
        <v>590</v>
      </c>
      <c r="AQ3" s="88" t="s">
        <v>499</v>
      </c>
      <c r="AR3" s="88" t="s">
        <v>7</v>
      </c>
      <c r="AS3" s="88" t="s">
        <v>558</v>
      </c>
      <c r="AT3" s="88" t="s">
        <v>559</v>
      </c>
      <c r="AU3" s="89" t="s">
        <v>589</v>
      </c>
      <c r="AV3" s="87" t="s">
        <v>590</v>
      </c>
      <c r="AW3" s="88" t="s">
        <v>499</v>
      </c>
      <c r="AX3" s="88" t="s">
        <v>7</v>
      </c>
      <c r="AY3" s="88" t="s">
        <v>558</v>
      </c>
      <c r="AZ3" s="88" t="s">
        <v>559</v>
      </c>
      <c r="BA3" s="89" t="s">
        <v>589</v>
      </c>
      <c r="BB3" s="87" t="s">
        <v>590</v>
      </c>
      <c r="BC3" s="88" t="s">
        <v>499</v>
      </c>
      <c r="BD3" s="88" t="s">
        <v>7</v>
      </c>
      <c r="BE3" s="88" t="s">
        <v>558</v>
      </c>
      <c r="BF3" s="88" t="s">
        <v>559</v>
      </c>
      <c r="BG3" s="89" t="s">
        <v>589</v>
      </c>
      <c r="BH3" s="88"/>
      <c r="BI3" s="88" t="s">
        <v>592</v>
      </c>
      <c r="BJ3" s="88" t="s">
        <v>595</v>
      </c>
      <c r="BK3" s="88"/>
      <c r="BL3" s="88"/>
      <c r="BM3" s="88"/>
      <c r="BN3" s="88"/>
      <c r="BO3" s="88"/>
      <c r="BP3" s="88"/>
      <c r="BQ3" s="88"/>
      <c r="BR3" s="88"/>
      <c r="BS3" s="88"/>
      <c r="BT3" s="88"/>
      <c r="BU3" s="88"/>
      <c r="BV3">
        <v>3</v>
      </c>
      <c r="BW3">
        <v>0.15</v>
      </c>
      <c r="BX3">
        <v>0.56000000000000005</v>
      </c>
      <c r="CQ3" t="s">
        <v>614</v>
      </c>
      <c r="CR3" t="s">
        <v>614</v>
      </c>
      <c r="CT3" s="1">
        <v>3</v>
      </c>
      <c r="CU3" s="1">
        <v>71</v>
      </c>
    </row>
    <row r="4" spans="2:99" x14ac:dyDescent="0.3">
      <c r="B4">
        <v>3</v>
      </c>
      <c r="C4">
        <v>0.5</v>
      </c>
      <c r="D4">
        <v>2.5</v>
      </c>
      <c r="E4">
        <v>1.8</v>
      </c>
      <c r="F4">
        <v>0.35</v>
      </c>
      <c r="G4">
        <v>0.35</v>
      </c>
      <c r="H4">
        <v>1.5</v>
      </c>
      <c r="I4">
        <f t="shared" ref="I4:I12" si="0">VLOOKUP($B4*1000,$CQ$4:$CR$6,2,TRUE)/1000</f>
        <v>0.9</v>
      </c>
      <c r="J4">
        <f t="shared" ref="J4:J12" si="1">k*γ_suelo*$I4</f>
        <v>5.88</v>
      </c>
      <c r="K4">
        <f>$D4/2</f>
        <v>1.25</v>
      </c>
      <c r="L4">
        <f>H4*J4*K4</f>
        <v>11.025</v>
      </c>
      <c r="M4">
        <v>1.75</v>
      </c>
      <c r="N4">
        <f t="shared" ref="N4:N12" si="2">k*γ_suelo*D4^2/2</f>
        <v>20.416666666666668</v>
      </c>
      <c r="O4">
        <f t="shared" ref="O4:O12" si="3">(1/3)*D4</f>
        <v>0.83333333333333326</v>
      </c>
      <c r="P4">
        <f>M4*N4*O4</f>
        <v>29.774305555555557</v>
      </c>
      <c r="Q4">
        <f>SUM(L4,P4)</f>
        <v>40.799305555555556</v>
      </c>
      <c r="R4">
        <v>1</v>
      </c>
      <c r="S4">
        <f>G4-0.08</f>
        <v>0.26999999999999996</v>
      </c>
      <c r="T4">
        <f>Q4/(R4*S4^2)</f>
        <v>559.66125590611205</v>
      </c>
      <c r="U4">
        <f t="shared" ref="U4:U12" si="4">φ_f*0.59*fy^2/fc</f>
        <v>3082819.9052132703</v>
      </c>
      <c r="V4">
        <f t="shared" ref="V4:V12" si="5">-φ_f*fy</f>
        <v>-315000</v>
      </c>
      <c r="W4">
        <f>(-V4-SQRT(V4^2-4*U4*T4))/(2*U4)</f>
        <v>1.8087193506431396E-3</v>
      </c>
      <c r="X4">
        <f>W4*R4*S4*1000000</f>
        <v>488.35422467364759</v>
      </c>
      <c r="Y4">
        <v>4</v>
      </c>
      <c r="Z4">
        <f t="shared" ref="Z4:Z12" si="6">ROUNDUP(X4/VLOOKUP($Y4,$CT$3:$CU$8,2,FALSE),0)</f>
        <v>4</v>
      </c>
      <c r="AA4">
        <f>5*ROUNDDOWN((100/Z4)/5,0)</f>
        <v>25</v>
      </c>
      <c r="AC4">
        <v>3</v>
      </c>
      <c r="AD4" s="87">
        <f>$Y4</f>
        <v>4</v>
      </c>
      <c r="AE4" s="88">
        <f>3*$AA4</f>
        <v>75</v>
      </c>
      <c r="AF4" s="88">
        <f>ROUNDDOWN(10*($B4-0.15),0)/10</f>
        <v>2.8</v>
      </c>
      <c r="AG4" s="88">
        <f t="shared" ref="AG4:AG12" si="7">VLOOKUP(AD4,$BV$3:$BW$8,2,FALSE)</f>
        <v>0.2</v>
      </c>
      <c r="AH4" s="88">
        <f>SUM(AF4,AG4)</f>
        <v>3</v>
      </c>
      <c r="AI4" s="89">
        <f>ROUNDUP(($E4-0.15)/(AE4/100),0)</f>
        <v>3</v>
      </c>
      <c r="AJ4" s="87">
        <f>$Y4</f>
        <v>4</v>
      </c>
      <c r="AK4" s="88">
        <f>3*$AA4</f>
        <v>75</v>
      </c>
      <c r="AL4" s="88">
        <f>ROUNDDOWN(10*(2/3)*($B4-0.15),0)/10</f>
        <v>1.9</v>
      </c>
      <c r="AM4" s="88">
        <f t="shared" ref="AM4:AM12" si="8">VLOOKUP(AJ4,$BV$3:$BW$8,2,FALSE)</f>
        <v>0.2</v>
      </c>
      <c r="AN4" s="88">
        <f>SUM(AL4,AM4)</f>
        <v>2.1</v>
      </c>
      <c r="AO4" s="89">
        <f>ROUNDUP(($E4-0.15)/(AK4/100),0)</f>
        <v>3</v>
      </c>
      <c r="AP4" s="87">
        <f>$Y4</f>
        <v>4</v>
      </c>
      <c r="AQ4" s="88">
        <f>3*$AA4</f>
        <v>75</v>
      </c>
      <c r="AR4" s="88">
        <f>ROUNDDOWN(10*(1/3)*($B4-0.15),0)/10</f>
        <v>0.9</v>
      </c>
      <c r="AS4" s="88">
        <f t="shared" ref="AS4:AS12" si="9">VLOOKUP(AP4,$BV$3:$BW$8,2,FALSE)</f>
        <v>0.2</v>
      </c>
      <c r="AT4" s="88">
        <f>SUM(AR4,AS4)</f>
        <v>1.1000000000000001</v>
      </c>
      <c r="AU4" s="89">
        <f>ROUNDUP(($E4-0.15)/(AQ4/100),0)</f>
        <v>3</v>
      </c>
      <c r="AV4" s="87">
        <v>4</v>
      </c>
      <c r="AW4" s="88">
        <v>20</v>
      </c>
      <c r="AX4" s="88">
        <f>ROUNDUP(10*($B4-0.15),0)/10</f>
        <v>2.9</v>
      </c>
      <c r="AY4" s="88">
        <f t="shared" ref="AY4:AY12" si="10">VLOOKUP(AV4,$BV$3:$BW$8,2,FALSE)</f>
        <v>0.2</v>
      </c>
      <c r="AZ4" s="88">
        <f>SUM(AX4,AY4)</f>
        <v>3.1</v>
      </c>
      <c r="BA4" s="89">
        <f>ROUNDUP(($E4-0.15)/(AW4/100),0)</f>
        <v>9</v>
      </c>
      <c r="BB4" s="87">
        <v>4</v>
      </c>
      <c r="BC4" s="88">
        <v>20</v>
      </c>
      <c r="BD4" s="88">
        <f>ROUNDUP(10*($E4+$F4-0.15),0)/10</f>
        <v>2</v>
      </c>
      <c r="BE4" s="88">
        <f t="shared" ref="BE4:BE12" si="11">VLOOKUP(BB4,$BV$3:$BW$8,2,FALSE)</f>
        <v>0.2</v>
      </c>
      <c r="BF4" s="88">
        <f>SUM(BD4,BE4)</f>
        <v>2.2000000000000002</v>
      </c>
      <c r="BG4" s="89">
        <f>2*ROUNDUP(($B4-C4-0.15)/(BC4/100),0)</f>
        <v>24</v>
      </c>
      <c r="BH4" s="88"/>
      <c r="BI4" s="88">
        <f>2*(SUM(AI4*AH4*VLOOKUP(AD4,$BV$3:$BX$8,3,FALSE),AO4*AN4*VLOOKUP(AJ4,$BV$3:$BX$8,3,FALSE),AU4*AT4*VLOOKUP(AP4,$BV$3:$BX$8,3,FALSE),BA4*AZ4*VLOOKUP(AV4,$BV$3:$BX$8,3,FALSE),BG4*BF4*VLOOKUP(BB4,$BV$3:$BX$8,3,FALSE)))</f>
        <v>197.40840000000003</v>
      </c>
      <c r="BJ4" s="88"/>
      <c r="BK4" s="88"/>
      <c r="BL4" s="88"/>
      <c r="BM4" s="88"/>
      <c r="BN4" s="88"/>
      <c r="BO4" s="88"/>
      <c r="BP4" s="88"/>
      <c r="BQ4" s="88"/>
      <c r="BR4" s="88"/>
      <c r="BS4" s="88"/>
      <c r="BT4" s="88"/>
      <c r="BU4" s="88"/>
      <c r="BV4">
        <v>4</v>
      </c>
      <c r="BW4">
        <v>0.2</v>
      </c>
      <c r="BX4">
        <v>0.99399999999999999</v>
      </c>
      <c r="CQ4">
        <v>1500</v>
      </c>
      <c r="CR4">
        <v>1200</v>
      </c>
      <c r="CT4" s="1">
        <v>4</v>
      </c>
      <c r="CU4" s="1">
        <v>129</v>
      </c>
    </row>
    <row r="5" spans="2:99" x14ac:dyDescent="0.3">
      <c r="B5">
        <v>3.5</v>
      </c>
      <c r="C5">
        <v>0.5</v>
      </c>
      <c r="D5">
        <v>3</v>
      </c>
      <c r="E5">
        <v>2.1</v>
      </c>
      <c r="F5">
        <v>0.35</v>
      </c>
      <c r="G5">
        <v>0.35</v>
      </c>
      <c r="H5">
        <v>1.5</v>
      </c>
      <c r="I5">
        <f t="shared" si="0"/>
        <v>0.9</v>
      </c>
      <c r="J5">
        <f t="shared" si="1"/>
        <v>5.88</v>
      </c>
      <c r="K5">
        <f t="shared" ref="K5:K12" si="12">$D5/2</f>
        <v>1.5</v>
      </c>
      <c r="L5">
        <f t="shared" ref="L5:L12" si="13">H5*J5*K5</f>
        <v>13.23</v>
      </c>
      <c r="M5">
        <v>1.75</v>
      </c>
      <c r="N5">
        <f t="shared" si="2"/>
        <v>29.4</v>
      </c>
      <c r="O5">
        <f t="shared" si="3"/>
        <v>1</v>
      </c>
      <c r="P5">
        <f t="shared" ref="P5:P12" si="14">M5*N5*O5</f>
        <v>51.449999999999996</v>
      </c>
      <c r="Q5">
        <f t="shared" ref="Q5:Q12" si="15">SUM(L5,P5)</f>
        <v>64.679999999999993</v>
      </c>
      <c r="R5">
        <v>1</v>
      </c>
      <c r="S5">
        <f t="shared" ref="S5:S12" si="16">G5-0.08</f>
        <v>0.26999999999999996</v>
      </c>
      <c r="T5">
        <f t="shared" ref="T5:T12" si="17">Q5/(R5*S5^2)</f>
        <v>887.24279835390962</v>
      </c>
      <c r="U5">
        <f t="shared" si="4"/>
        <v>3082819.9052132703</v>
      </c>
      <c r="V5">
        <f t="shared" si="5"/>
        <v>-315000</v>
      </c>
      <c r="W5">
        <f t="shared" ref="W5:W12" si="18">(-V5-SQRT(V5^2-4*U5*T5))/(2*U5)</f>
        <v>2.8988870395119243E-3</v>
      </c>
      <c r="X5">
        <f t="shared" ref="X5:X12" si="19">W5*R5*S5*1000000</f>
        <v>782.69950066821946</v>
      </c>
      <c r="Y5">
        <v>5</v>
      </c>
      <c r="Z5">
        <f t="shared" si="6"/>
        <v>4</v>
      </c>
      <c r="AA5">
        <f t="shared" ref="AA5:AA12" si="20">5*ROUNDDOWN((100/Z5)/5,0)</f>
        <v>25</v>
      </c>
      <c r="AC5">
        <v>3.5</v>
      </c>
      <c r="AD5" s="87">
        <f t="shared" ref="AD5:AD12" si="21">$Y5</f>
        <v>5</v>
      </c>
      <c r="AE5" s="88">
        <f t="shared" ref="AE5:AE12" si="22">3*$AA5</f>
        <v>75</v>
      </c>
      <c r="AF5" s="88">
        <f t="shared" ref="AF5:AF12" si="23">ROUNDDOWN(10*($B5-0.15),0)/10</f>
        <v>3.3</v>
      </c>
      <c r="AG5" s="88">
        <f t="shared" si="7"/>
        <v>0.25</v>
      </c>
      <c r="AH5" s="88">
        <f t="shared" ref="AH5:AH12" si="24">SUM(AF5,AG5)</f>
        <v>3.55</v>
      </c>
      <c r="AI5" s="89">
        <f t="shared" ref="AI5:AI12" si="25">ROUNDUP(($E5-0.15)/(AE5/100),0)</f>
        <v>3</v>
      </c>
      <c r="AJ5" s="87">
        <f t="shared" ref="AJ5:AJ12" si="26">$Y5</f>
        <v>5</v>
      </c>
      <c r="AK5" s="88">
        <f t="shared" ref="AK5:AK12" si="27">3*$AA5</f>
        <v>75</v>
      </c>
      <c r="AL5" s="88">
        <f t="shared" ref="AL5:AL12" si="28">ROUNDDOWN(10*(2/3)*($B5-0.15),0)/10</f>
        <v>2.2000000000000002</v>
      </c>
      <c r="AM5" s="88">
        <f t="shared" si="8"/>
        <v>0.25</v>
      </c>
      <c r="AN5" s="88">
        <f t="shared" ref="AN5:AN12" si="29">SUM(AL5,AM5)</f>
        <v>2.4500000000000002</v>
      </c>
      <c r="AO5" s="89">
        <f t="shared" ref="AO5:AO12" si="30">ROUNDUP(($E5-0.15)/(AK5/100),0)</f>
        <v>3</v>
      </c>
      <c r="AP5" s="87">
        <f t="shared" ref="AP5:AP12" si="31">$Y5</f>
        <v>5</v>
      </c>
      <c r="AQ5" s="88">
        <f t="shared" ref="AQ5:AQ12" si="32">3*$AA5</f>
        <v>75</v>
      </c>
      <c r="AR5" s="88">
        <f t="shared" ref="AR5:AR12" si="33">ROUNDDOWN(10*(1/3)*($B5-0.15),0)/10</f>
        <v>1.1000000000000001</v>
      </c>
      <c r="AS5" s="88">
        <f t="shared" si="9"/>
        <v>0.25</v>
      </c>
      <c r="AT5" s="88">
        <f t="shared" ref="AT5:AT12" si="34">SUM(AR5,AS5)</f>
        <v>1.35</v>
      </c>
      <c r="AU5" s="89">
        <f t="shared" ref="AU5:AU12" si="35">ROUNDUP(($E5-0.15)/(AQ5/100),0)</f>
        <v>3</v>
      </c>
      <c r="AV5" s="87">
        <v>4</v>
      </c>
      <c r="AW5" s="88">
        <v>20</v>
      </c>
      <c r="AX5" s="88">
        <f t="shared" ref="AX5:AX12" si="36">ROUNDUP(10*($B5-0.15),0)/10</f>
        <v>3.4</v>
      </c>
      <c r="AY5" s="88">
        <f t="shared" si="10"/>
        <v>0.2</v>
      </c>
      <c r="AZ5" s="88">
        <f t="shared" ref="AZ5:AZ12" si="37">SUM(AX5,AY5)</f>
        <v>3.6</v>
      </c>
      <c r="BA5" s="89">
        <f t="shared" ref="BA5:BA12" si="38">ROUNDUP(($E5-0.15)/(AW5/100),0)</f>
        <v>10</v>
      </c>
      <c r="BB5" s="87">
        <v>4</v>
      </c>
      <c r="BC5" s="88">
        <v>20</v>
      </c>
      <c r="BD5" s="88">
        <f t="shared" ref="BD5:BD12" si="39">ROUNDUP(10*($E5+$F5-0.15),0)/10</f>
        <v>2.2999999999999998</v>
      </c>
      <c r="BE5" s="88">
        <f t="shared" si="11"/>
        <v>0.2</v>
      </c>
      <c r="BF5" s="88">
        <f t="shared" ref="BF5:BF12" si="40">SUM(BD5,BE5)</f>
        <v>2.5</v>
      </c>
      <c r="BG5" s="89">
        <f t="shared" ref="BG5:BG12" si="41">2*ROUNDUP(($B5-C5-0.15)/(BC5/100),0)</f>
        <v>30</v>
      </c>
      <c r="BH5" s="88"/>
      <c r="BI5" s="88">
        <f t="shared" ref="BI5:BI12" si="42">2*(SUM(AI5*AH5*VLOOKUP(AD5,$BV$3:$BX$8,3,FALSE),AO5*AN5*VLOOKUP(AJ5,$BV$3:$BX$8,3,FALSE),AU5*AT5*VLOOKUP(AP5,$BV$3:$BX$8,3,FALSE),BA5*AZ5*VLOOKUP(AV5,$BV$3:$BX$8,3,FALSE),BG5*BF5*VLOOKUP(BB5,$BV$3:$BX$8,3,FALSE)))</f>
        <v>289.1112</v>
      </c>
      <c r="BJ5" s="88"/>
      <c r="BK5" s="88"/>
      <c r="BL5" s="88"/>
      <c r="BM5" s="88"/>
      <c r="BN5" s="88"/>
      <c r="BO5" s="88"/>
      <c r="BP5" s="88"/>
      <c r="BQ5" s="88"/>
      <c r="BR5" s="88"/>
      <c r="BS5" s="88"/>
      <c r="BT5" s="88"/>
      <c r="BU5" s="88"/>
      <c r="BV5">
        <v>5</v>
      </c>
      <c r="BW5">
        <v>0.25</v>
      </c>
      <c r="BX5">
        <v>1.552</v>
      </c>
      <c r="CQ5">
        <v>3000</v>
      </c>
      <c r="CR5">
        <v>900</v>
      </c>
      <c r="CT5" s="1">
        <v>5</v>
      </c>
      <c r="CU5" s="1">
        <v>199</v>
      </c>
    </row>
    <row r="6" spans="2:99" x14ac:dyDescent="0.3">
      <c r="B6">
        <v>4</v>
      </c>
      <c r="C6">
        <v>0.5</v>
      </c>
      <c r="D6">
        <v>3.5</v>
      </c>
      <c r="E6">
        <v>2.4</v>
      </c>
      <c r="F6">
        <v>0.4</v>
      </c>
      <c r="G6">
        <v>0.4</v>
      </c>
      <c r="H6">
        <v>1.5</v>
      </c>
      <c r="I6">
        <f t="shared" si="0"/>
        <v>0.9</v>
      </c>
      <c r="J6">
        <f t="shared" si="1"/>
        <v>5.88</v>
      </c>
      <c r="K6">
        <f t="shared" si="12"/>
        <v>1.75</v>
      </c>
      <c r="L6">
        <f t="shared" si="13"/>
        <v>15.435</v>
      </c>
      <c r="M6">
        <v>1.75</v>
      </c>
      <c r="N6">
        <f t="shared" si="2"/>
        <v>40.016666666666666</v>
      </c>
      <c r="O6">
        <f t="shared" si="3"/>
        <v>1.1666666666666665</v>
      </c>
      <c r="P6">
        <f t="shared" si="14"/>
        <v>81.700694444444437</v>
      </c>
      <c r="Q6">
        <f t="shared" si="15"/>
        <v>97.135694444444439</v>
      </c>
      <c r="R6">
        <v>1</v>
      </c>
      <c r="S6">
        <f t="shared" si="16"/>
        <v>0.32</v>
      </c>
      <c r="T6">
        <f t="shared" si="17"/>
        <v>948.59076605902771</v>
      </c>
      <c r="U6">
        <f t="shared" si="4"/>
        <v>3082819.9052132703</v>
      </c>
      <c r="V6">
        <f t="shared" si="5"/>
        <v>-315000</v>
      </c>
      <c r="W6">
        <f t="shared" si="18"/>
        <v>3.1058021201838507E-3</v>
      </c>
      <c r="X6">
        <f t="shared" si="19"/>
        <v>993.85667845883233</v>
      </c>
      <c r="Y6">
        <v>5</v>
      </c>
      <c r="Z6">
        <f t="shared" si="6"/>
        <v>5</v>
      </c>
      <c r="AA6">
        <f t="shared" si="20"/>
        <v>20</v>
      </c>
      <c r="AC6">
        <v>4</v>
      </c>
      <c r="AD6" s="87">
        <f t="shared" si="21"/>
        <v>5</v>
      </c>
      <c r="AE6" s="88">
        <f t="shared" si="22"/>
        <v>60</v>
      </c>
      <c r="AF6" s="88">
        <f t="shared" si="23"/>
        <v>3.8</v>
      </c>
      <c r="AG6" s="88">
        <f t="shared" si="7"/>
        <v>0.25</v>
      </c>
      <c r="AH6" s="88">
        <f t="shared" si="24"/>
        <v>4.05</v>
      </c>
      <c r="AI6" s="89">
        <f t="shared" si="25"/>
        <v>4</v>
      </c>
      <c r="AJ6" s="87">
        <f t="shared" si="26"/>
        <v>5</v>
      </c>
      <c r="AK6" s="88">
        <f t="shared" si="27"/>
        <v>60</v>
      </c>
      <c r="AL6" s="88">
        <f t="shared" si="28"/>
        <v>2.5</v>
      </c>
      <c r="AM6" s="88">
        <f t="shared" si="8"/>
        <v>0.25</v>
      </c>
      <c r="AN6" s="88">
        <f t="shared" si="29"/>
        <v>2.75</v>
      </c>
      <c r="AO6" s="89">
        <f t="shared" si="30"/>
        <v>4</v>
      </c>
      <c r="AP6" s="87">
        <f t="shared" si="31"/>
        <v>5</v>
      </c>
      <c r="AQ6" s="88">
        <f t="shared" si="32"/>
        <v>60</v>
      </c>
      <c r="AR6" s="88">
        <f t="shared" si="33"/>
        <v>1.2</v>
      </c>
      <c r="AS6" s="88">
        <f t="shared" si="9"/>
        <v>0.25</v>
      </c>
      <c r="AT6" s="88">
        <f t="shared" si="34"/>
        <v>1.45</v>
      </c>
      <c r="AU6" s="89">
        <f t="shared" si="35"/>
        <v>4</v>
      </c>
      <c r="AV6" s="87">
        <v>4</v>
      </c>
      <c r="AW6" s="88">
        <v>20</v>
      </c>
      <c r="AX6" s="88">
        <f t="shared" si="36"/>
        <v>3.9</v>
      </c>
      <c r="AY6" s="88">
        <f t="shared" si="10"/>
        <v>0.2</v>
      </c>
      <c r="AZ6" s="88">
        <f t="shared" si="37"/>
        <v>4.0999999999999996</v>
      </c>
      <c r="BA6" s="89">
        <f t="shared" si="38"/>
        <v>12</v>
      </c>
      <c r="BB6" s="87">
        <v>4</v>
      </c>
      <c r="BC6" s="88">
        <v>20</v>
      </c>
      <c r="BD6" s="88">
        <f t="shared" si="39"/>
        <v>2.7</v>
      </c>
      <c r="BE6" s="88">
        <f t="shared" si="11"/>
        <v>0.2</v>
      </c>
      <c r="BF6" s="88">
        <f t="shared" si="40"/>
        <v>2.9000000000000004</v>
      </c>
      <c r="BG6" s="89">
        <f t="shared" si="41"/>
        <v>34</v>
      </c>
      <c r="BH6" s="88"/>
      <c r="BI6" s="88">
        <f t="shared" si="42"/>
        <v>396.25839999999999</v>
      </c>
      <c r="BJ6" s="88"/>
      <c r="BK6" s="88"/>
      <c r="BL6" s="88"/>
      <c r="BM6" s="88"/>
      <c r="BN6" s="88"/>
      <c r="BO6" s="88"/>
      <c r="BP6" s="88"/>
      <c r="BQ6" s="88"/>
      <c r="BR6" s="88"/>
      <c r="BS6" s="88"/>
      <c r="BT6" s="88"/>
      <c r="BU6" s="88"/>
      <c r="BV6">
        <v>6</v>
      </c>
      <c r="BW6">
        <v>0.3</v>
      </c>
      <c r="BX6">
        <v>2.2349999999999999</v>
      </c>
      <c r="CQ6" s="90">
        <v>6000</v>
      </c>
      <c r="CR6">
        <v>600</v>
      </c>
      <c r="CT6" s="1">
        <v>6</v>
      </c>
      <c r="CU6" s="1">
        <v>284</v>
      </c>
    </row>
    <row r="7" spans="2:99" x14ac:dyDescent="0.3">
      <c r="B7">
        <v>4.5</v>
      </c>
      <c r="C7">
        <v>0.5</v>
      </c>
      <c r="D7">
        <v>4</v>
      </c>
      <c r="E7">
        <v>2.7</v>
      </c>
      <c r="F7">
        <v>0.45</v>
      </c>
      <c r="G7">
        <v>0.45</v>
      </c>
      <c r="H7">
        <v>1.5</v>
      </c>
      <c r="I7">
        <f t="shared" si="0"/>
        <v>0.9</v>
      </c>
      <c r="J7">
        <f t="shared" si="1"/>
        <v>5.88</v>
      </c>
      <c r="K7">
        <f t="shared" si="12"/>
        <v>2</v>
      </c>
      <c r="L7">
        <f t="shared" si="13"/>
        <v>17.64</v>
      </c>
      <c r="M7">
        <v>1.75</v>
      </c>
      <c r="N7">
        <f t="shared" si="2"/>
        <v>52.266666666666666</v>
      </c>
      <c r="O7">
        <f t="shared" si="3"/>
        <v>1.3333333333333333</v>
      </c>
      <c r="P7">
        <f t="shared" si="14"/>
        <v>121.95555555555555</v>
      </c>
      <c r="Q7">
        <f t="shared" si="15"/>
        <v>139.59555555555556</v>
      </c>
      <c r="R7">
        <v>1</v>
      </c>
      <c r="S7">
        <f t="shared" si="16"/>
        <v>0.37</v>
      </c>
      <c r="T7">
        <f t="shared" si="17"/>
        <v>1019.6899602305009</v>
      </c>
      <c r="U7">
        <f t="shared" si="4"/>
        <v>3082819.9052132703</v>
      </c>
      <c r="V7">
        <f t="shared" si="5"/>
        <v>-315000</v>
      </c>
      <c r="W7">
        <f t="shared" si="18"/>
        <v>3.3467281250496904E-3</v>
      </c>
      <c r="X7">
        <f t="shared" si="19"/>
        <v>1238.2894062683856</v>
      </c>
      <c r="Y7">
        <v>6</v>
      </c>
      <c r="Z7">
        <f t="shared" si="6"/>
        <v>5</v>
      </c>
      <c r="AA7">
        <f t="shared" si="20"/>
        <v>20</v>
      </c>
      <c r="AC7">
        <v>4.5</v>
      </c>
      <c r="AD7" s="87">
        <f t="shared" si="21"/>
        <v>6</v>
      </c>
      <c r="AE7" s="88">
        <f t="shared" si="22"/>
        <v>60</v>
      </c>
      <c r="AF7" s="88">
        <f t="shared" si="23"/>
        <v>4.3</v>
      </c>
      <c r="AG7" s="88">
        <f t="shared" si="7"/>
        <v>0.3</v>
      </c>
      <c r="AH7" s="88">
        <f t="shared" si="24"/>
        <v>4.5999999999999996</v>
      </c>
      <c r="AI7" s="89">
        <f t="shared" si="25"/>
        <v>5</v>
      </c>
      <c r="AJ7" s="87">
        <f t="shared" si="26"/>
        <v>6</v>
      </c>
      <c r="AK7" s="88">
        <f t="shared" si="27"/>
        <v>60</v>
      </c>
      <c r="AL7" s="88">
        <f t="shared" si="28"/>
        <v>2.9</v>
      </c>
      <c r="AM7" s="88">
        <f t="shared" si="8"/>
        <v>0.3</v>
      </c>
      <c r="AN7" s="88">
        <f t="shared" si="29"/>
        <v>3.1999999999999997</v>
      </c>
      <c r="AO7" s="89">
        <f t="shared" si="30"/>
        <v>5</v>
      </c>
      <c r="AP7" s="87">
        <f t="shared" si="31"/>
        <v>6</v>
      </c>
      <c r="AQ7" s="88">
        <f t="shared" si="32"/>
        <v>60</v>
      </c>
      <c r="AR7" s="88">
        <f t="shared" si="33"/>
        <v>1.4</v>
      </c>
      <c r="AS7" s="88">
        <f t="shared" si="9"/>
        <v>0.3</v>
      </c>
      <c r="AT7" s="88">
        <f t="shared" si="34"/>
        <v>1.7</v>
      </c>
      <c r="AU7" s="89">
        <f t="shared" si="35"/>
        <v>5</v>
      </c>
      <c r="AV7" s="87">
        <v>4</v>
      </c>
      <c r="AW7" s="88">
        <v>20</v>
      </c>
      <c r="AX7" s="88">
        <f t="shared" si="36"/>
        <v>4.4000000000000004</v>
      </c>
      <c r="AY7" s="88">
        <f t="shared" si="10"/>
        <v>0.2</v>
      </c>
      <c r="AZ7" s="88">
        <f t="shared" si="37"/>
        <v>4.6000000000000005</v>
      </c>
      <c r="BA7" s="89">
        <f t="shared" si="38"/>
        <v>13</v>
      </c>
      <c r="BB7" s="87">
        <v>4</v>
      </c>
      <c r="BC7" s="88">
        <v>20</v>
      </c>
      <c r="BD7" s="88">
        <f t="shared" si="39"/>
        <v>3</v>
      </c>
      <c r="BE7" s="88">
        <f t="shared" si="11"/>
        <v>0.2</v>
      </c>
      <c r="BF7" s="88">
        <f t="shared" si="40"/>
        <v>3.2</v>
      </c>
      <c r="BG7" s="89">
        <f t="shared" si="41"/>
        <v>40</v>
      </c>
      <c r="BH7" s="88"/>
      <c r="BI7" s="88">
        <f t="shared" si="42"/>
        <v>585.67139999999995</v>
      </c>
      <c r="BJ7" s="88"/>
      <c r="BK7" s="88"/>
      <c r="BL7" s="88"/>
      <c r="BM7" s="88"/>
      <c r="BN7" s="88"/>
      <c r="BO7" s="88"/>
      <c r="BP7" s="88"/>
      <c r="BQ7" s="88"/>
      <c r="BR7" s="88"/>
      <c r="BS7" s="88"/>
      <c r="BT7" s="88"/>
      <c r="BU7" s="88"/>
      <c r="BV7">
        <v>7</v>
      </c>
      <c r="BW7">
        <v>0.35</v>
      </c>
      <c r="BX7">
        <v>3.0419999999999998</v>
      </c>
      <c r="CT7" s="1">
        <v>7</v>
      </c>
      <c r="CU7" s="1">
        <v>387</v>
      </c>
    </row>
    <row r="8" spans="2:99" x14ac:dyDescent="0.3">
      <c r="B8">
        <v>5</v>
      </c>
      <c r="C8">
        <v>0.5</v>
      </c>
      <c r="D8">
        <v>4.5</v>
      </c>
      <c r="E8">
        <v>3</v>
      </c>
      <c r="F8">
        <v>0.5</v>
      </c>
      <c r="G8">
        <v>0.5</v>
      </c>
      <c r="H8">
        <v>1.5</v>
      </c>
      <c r="I8">
        <f t="shared" si="0"/>
        <v>0.9</v>
      </c>
      <c r="J8">
        <f t="shared" si="1"/>
        <v>5.88</v>
      </c>
      <c r="K8">
        <f t="shared" si="12"/>
        <v>2.25</v>
      </c>
      <c r="L8">
        <f t="shared" si="13"/>
        <v>19.844999999999999</v>
      </c>
      <c r="M8">
        <v>1.75</v>
      </c>
      <c r="N8">
        <f t="shared" si="2"/>
        <v>66.150000000000006</v>
      </c>
      <c r="O8">
        <f t="shared" si="3"/>
        <v>1.5</v>
      </c>
      <c r="P8">
        <f t="shared" si="14"/>
        <v>173.64375000000001</v>
      </c>
      <c r="Q8">
        <f t="shared" si="15"/>
        <v>193.48875000000001</v>
      </c>
      <c r="R8">
        <v>1</v>
      </c>
      <c r="S8">
        <f t="shared" si="16"/>
        <v>0.42</v>
      </c>
      <c r="T8">
        <f t="shared" si="17"/>
        <v>1096.8750000000002</v>
      </c>
      <c r="U8">
        <f t="shared" si="4"/>
        <v>3082819.9052132703</v>
      </c>
      <c r="V8">
        <f t="shared" si="5"/>
        <v>-315000</v>
      </c>
      <c r="W8">
        <f t="shared" si="18"/>
        <v>3.6096605121769621E-3</v>
      </c>
      <c r="X8">
        <f t="shared" si="19"/>
        <v>1516.0574151143242</v>
      </c>
      <c r="Y8">
        <v>6</v>
      </c>
      <c r="Z8">
        <f t="shared" si="6"/>
        <v>6</v>
      </c>
      <c r="AA8">
        <f t="shared" si="20"/>
        <v>15</v>
      </c>
      <c r="AC8">
        <v>5</v>
      </c>
      <c r="AD8" s="87">
        <f t="shared" si="21"/>
        <v>6</v>
      </c>
      <c r="AE8" s="88">
        <f t="shared" si="22"/>
        <v>45</v>
      </c>
      <c r="AF8" s="88">
        <f t="shared" si="23"/>
        <v>4.8</v>
      </c>
      <c r="AG8" s="88">
        <f t="shared" si="7"/>
        <v>0.3</v>
      </c>
      <c r="AH8" s="88">
        <f t="shared" si="24"/>
        <v>5.0999999999999996</v>
      </c>
      <c r="AI8" s="89">
        <f t="shared" si="25"/>
        <v>7</v>
      </c>
      <c r="AJ8" s="87">
        <f t="shared" si="26"/>
        <v>6</v>
      </c>
      <c r="AK8" s="88">
        <f t="shared" si="27"/>
        <v>45</v>
      </c>
      <c r="AL8" s="88">
        <f t="shared" si="28"/>
        <v>3.2</v>
      </c>
      <c r="AM8" s="88">
        <f t="shared" si="8"/>
        <v>0.3</v>
      </c>
      <c r="AN8" s="88">
        <f t="shared" si="29"/>
        <v>3.5</v>
      </c>
      <c r="AO8" s="89">
        <f t="shared" si="30"/>
        <v>7</v>
      </c>
      <c r="AP8" s="87">
        <f t="shared" si="31"/>
        <v>6</v>
      </c>
      <c r="AQ8" s="88">
        <f t="shared" si="32"/>
        <v>45</v>
      </c>
      <c r="AR8" s="88">
        <f t="shared" si="33"/>
        <v>1.6</v>
      </c>
      <c r="AS8" s="88">
        <f t="shared" si="9"/>
        <v>0.3</v>
      </c>
      <c r="AT8" s="88">
        <f t="shared" si="34"/>
        <v>1.9000000000000001</v>
      </c>
      <c r="AU8" s="89">
        <f t="shared" si="35"/>
        <v>7</v>
      </c>
      <c r="AV8" s="87">
        <v>4</v>
      </c>
      <c r="AW8" s="88">
        <v>20</v>
      </c>
      <c r="AX8" s="88">
        <f t="shared" si="36"/>
        <v>4.9000000000000004</v>
      </c>
      <c r="AY8" s="88">
        <f t="shared" si="10"/>
        <v>0.2</v>
      </c>
      <c r="AZ8" s="88">
        <f t="shared" si="37"/>
        <v>5.1000000000000005</v>
      </c>
      <c r="BA8" s="89">
        <f t="shared" si="38"/>
        <v>15</v>
      </c>
      <c r="BB8" s="87">
        <v>4</v>
      </c>
      <c r="BC8" s="88">
        <v>20</v>
      </c>
      <c r="BD8" s="88">
        <f t="shared" si="39"/>
        <v>3.4</v>
      </c>
      <c r="BE8" s="88">
        <f t="shared" si="11"/>
        <v>0.2</v>
      </c>
      <c r="BF8" s="88">
        <f t="shared" si="40"/>
        <v>3.6</v>
      </c>
      <c r="BG8" s="89">
        <f t="shared" si="41"/>
        <v>44</v>
      </c>
      <c r="BH8" s="88"/>
      <c r="BI8" s="88">
        <f t="shared" si="42"/>
        <v>795.52620000000002</v>
      </c>
      <c r="BJ8" s="88"/>
      <c r="BK8" s="88"/>
      <c r="BL8" s="88"/>
      <c r="BM8" s="88"/>
      <c r="BN8" s="88"/>
      <c r="BO8" s="88"/>
      <c r="BP8" s="88"/>
      <c r="BQ8" s="88"/>
      <c r="BR8" s="88"/>
      <c r="BS8" s="88"/>
      <c r="BT8" s="88"/>
      <c r="BU8" s="88"/>
      <c r="BV8">
        <v>8</v>
      </c>
      <c r="BW8">
        <v>0.4</v>
      </c>
      <c r="BX8">
        <v>3.9729999999999999</v>
      </c>
      <c r="CT8" s="1">
        <v>8</v>
      </c>
      <c r="CU8" s="1">
        <v>510</v>
      </c>
    </row>
    <row r="9" spans="2:99" x14ac:dyDescent="0.3">
      <c r="B9">
        <v>5.5</v>
      </c>
      <c r="C9">
        <v>0.6</v>
      </c>
      <c r="D9">
        <v>4.9000000000000004</v>
      </c>
      <c r="E9">
        <v>3.3</v>
      </c>
      <c r="F9">
        <v>0.55000000000000004</v>
      </c>
      <c r="G9">
        <v>0.55000000000000004</v>
      </c>
      <c r="H9">
        <v>1.5</v>
      </c>
      <c r="I9">
        <f t="shared" si="0"/>
        <v>0.9</v>
      </c>
      <c r="J9">
        <f t="shared" si="1"/>
        <v>5.88</v>
      </c>
      <c r="K9">
        <f t="shared" si="12"/>
        <v>2.4500000000000002</v>
      </c>
      <c r="L9">
        <f t="shared" si="13"/>
        <v>21.609000000000002</v>
      </c>
      <c r="M9">
        <v>1.75</v>
      </c>
      <c r="N9">
        <f t="shared" si="2"/>
        <v>78.432666666666677</v>
      </c>
      <c r="O9">
        <f t="shared" si="3"/>
        <v>1.6333333333333333</v>
      </c>
      <c r="P9">
        <f t="shared" si="14"/>
        <v>224.18670555555556</v>
      </c>
      <c r="Q9">
        <f t="shared" si="15"/>
        <v>245.79570555555557</v>
      </c>
      <c r="R9">
        <v>1</v>
      </c>
      <c r="S9">
        <f t="shared" si="16"/>
        <v>0.47000000000000003</v>
      </c>
      <c r="T9">
        <f t="shared" si="17"/>
        <v>1112.7012474221617</v>
      </c>
      <c r="U9">
        <f t="shared" si="4"/>
        <v>3082819.9052132703</v>
      </c>
      <c r="V9">
        <f t="shared" si="5"/>
        <v>-315000</v>
      </c>
      <c r="W9">
        <f t="shared" si="18"/>
        <v>3.6637530317057796E-3</v>
      </c>
      <c r="X9">
        <f t="shared" si="19"/>
        <v>1721.9639249017166</v>
      </c>
      <c r="Y9">
        <v>7</v>
      </c>
      <c r="Z9">
        <f t="shared" si="6"/>
        <v>5</v>
      </c>
      <c r="AA9">
        <f t="shared" si="20"/>
        <v>20</v>
      </c>
      <c r="AC9">
        <v>5.5</v>
      </c>
      <c r="AD9" s="87">
        <f t="shared" si="21"/>
        <v>7</v>
      </c>
      <c r="AE9" s="88">
        <f t="shared" si="22"/>
        <v>60</v>
      </c>
      <c r="AF9" s="88">
        <f t="shared" si="23"/>
        <v>5.3</v>
      </c>
      <c r="AG9" s="88">
        <f t="shared" si="7"/>
        <v>0.35</v>
      </c>
      <c r="AH9" s="88">
        <f t="shared" si="24"/>
        <v>5.6499999999999995</v>
      </c>
      <c r="AI9" s="89">
        <f t="shared" si="25"/>
        <v>6</v>
      </c>
      <c r="AJ9" s="87">
        <f t="shared" si="26"/>
        <v>7</v>
      </c>
      <c r="AK9" s="88">
        <f t="shared" si="27"/>
        <v>60</v>
      </c>
      <c r="AL9" s="88">
        <f t="shared" si="28"/>
        <v>3.5</v>
      </c>
      <c r="AM9" s="88">
        <f t="shared" si="8"/>
        <v>0.35</v>
      </c>
      <c r="AN9" s="88">
        <f t="shared" si="29"/>
        <v>3.85</v>
      </c>
      <c r="AO9" s="89">
        <f t="shared" si="30"/>
        <v>6</v>
      </c>
      <c r="AP9" s="87">
        <f t="shared" si="31"/>
        <v>7</v>
      </c>
      <c r="AQ9" s="88">
        <f t="shared" si="32"/>
        <v>60</v>
      </c>
      <c r="AR9" s="88">
        <f t="shared" si="33"/>
        <v>1.7</v>
      </c>
      <c r="AS9" s="88">
        <f t="shared" si="9"/>
        <v>0.35</v>
      </c>
      <c r="AT9" s="88">
        <f t="shared" si="34"/>
        <v>2.0499999999999998</v>
      </c>
      <c r="AU9" s="89">
        <f t="shared" si="35"/>
        <v>6</v>
      </c>
      <c r="AV9" s="87">
        <v>4</v>
      </c>
      <c r="AW9" s="88">
        <v>20</v>
      </c>
      <c r="AX9" s="88">
        <f t="shared" si="36"/>
        <v>5.4</v>
      </c>
      <c r="AY9" s="88">
        <f t="shared" si="10"/>
        <v>0.2</v>
      </c>
      <c r="AZ9" s="88">
        <f t="shared" si="37"/>
        <v>5.6000000000000005</v>
      </c>
      <c r="BA9" s="89">
        <f t="shared" si="38"/>
        <v>16</v>
      </c>
      <c r="BB9" s="87">
        <v>4</v>
      </c>
      <c r="BC9" s="88">
        <v>20</v>
      </c>
      <c r="BD9" s="88">
        <f t="shared" si="39"/>
        <v>3.7</v>
      </c>
      <c r="BE9" s="88">
        <f t="shared" si="11"/>
        <v>0.2</v>
      </c>
      <c r="BF9" s="88">
        <f t="shared" si="40"/>
        <v>3.9000000000000004</v>
      </c>
      <c r="BG9" s="89">
        <f t="shared" si="41"/>
        <v>48</v>
      </c>
      <c r="BH9" s="88"/>
      <c r="BI9" s="88">
        <f t="shared" si="42"/>
        <v>971.89959999999996</v>
      </c>
      <c r="BJ9" s="88"/>
      <c r="BK9" s="88"/>
      <c r="BL9" s="88"/>
      <c r="BM9" s="88"/>
      <c r="BN9" s="88"/>
      <c r="BO9" s="88"/>
      <c r="BP9" s="88"/>
      <c r="BQ9" s="88"/>
      <c r="BR9" s="88"/>
      <c r="BS9" s="88"/>
      <c r="BT9" s="88"/>
      <c r="BU9" s="88"/>
    </row>
    <row r="10" spans="2:99" x14ac:dyDescent="0.3">
      <c r="B10">
        <v>6</v>
      </c>
      <c r="C10">
        <v>0.6</v>
      </c>
      <c r="D10">
        <v>5.4</v>
      </c>
      <c r="E10">
        <v>3.6</v>
      </c>
      <c r="F10">
        <v>0.6</v>
      </c>
      <c r="G10">
        <v>0.6</v>
      </c>
      <c r="H10">
        <v>1.5</v>
      </c>
      <c r="I10">
        <f t="shared" si="0"/>
        <v>0.6</v>
      </c>
      <c r="J10">
        <f t="shared" si="1"/>
        <v>3.92</v>
      </c>
      <c r="K10">
        <f t="shared" si="12"/>
        <v>2.7</v>
      </c>
      <c r="L10">
        <f t="shared" si="13"/>
        <v>15.876000000000001</v>
      </c>
      <c r="M10">
        <v>1.75</v>
      </c>
      <c r="N10">
        <f t="shared" si="2"/>
        <v>95.256000000000014</v>
      </c>
      <c r="O10">
        <f t="shared" si="3"/>
        <v>1.8</v>
      </c>
      <c r="P10">
        <f t="shared" si="14"/>
        <v>300.05640000000005</v>
      </c>
      <c r="Q10">
        <f t="shared" si="15"/>
        <v>315.93240000000003</v>
      </c>
      <c r="R10">
        <v>1</v>
      </c>
      <c r="S10">
        <f t="shared" si="16"/>
        <v>0.52</v>
      </c>
      <c r="T10">
        <f t="shared" si="17"/>
        <v>1168.3890532544378</v>
      </c>
      <c r="U10">
        <f t="shared" si="4"/>
        <v>3082819.9052132703</v>
      </c>
      <c r="V10">
        <f t="shared" si="5"/>
        <v>-315000</v>
      </c>
      <c r="W10">
        <f t="shared" si="18"/>
        <v>3.8545808058559924E-3</v>
      </c>
      <c r="X10">
        <f t="shared" si="19"/>
        <v>2004.3820190451161</v>
      </c>
      <c r="Y10">
        <v>7</v>
      </c>
      <c r="Z10">
        <f t="shared" si="6"/>
        <v>6</v>
      </c>
      <c r="AA10">
        <f t="shared" si="20"/>
        <v>15</v>
      </c>
      <c r="AC10">
        <v>6</v>
      </c>
      <c r="AD10" s="87">
        <f t="shared" si="21"/>
        <v>7</v>
      </c>
      <c r="AE10" s="88">
        <f t="shared" si="22"/>
        <v>45</v>
      </c>
      <c r="AF10" s="88">
        <f t="shared" si="23"/>
        <v>5.8</v>
      </c>
      <c r="AG10" s="88">
        <f t="shared" si="7"/>
        <v>0.35</v>
      </c>
      <c r="AH10" s="88">
        <f t="shared" si="24"/>
        <v>6.1499999999999995</v>
      </c>
      <c r="AI10" s="89">
        <f t="shared" si="25"/>
        <v>8</v>
      </c>
      <c r="AJ10" s="87">
        <f t="shared" si="26"/>
        <v>7</v>
      </c>
      <c r="AK10" s="88">
        <f t="shared" si="27"/>
        <v>45</v>
      </c>
      <c r="AL10" s="88">
        <f t="shared" si="28"/>
        <v>3.9</v>
      </c>
      <c r="AM10" s="88">
        <f t="shared" si="8"/>
        <v>0.35</v>
      </c>
      <c r="AN10" s="88">
        <f t="shared" si="29"/>
        <v>4.25</v>
      </c>
      <c r="AO10" s="89">
        <f t="shared" si="30"/>
        <v>8</v>
      </c>
      <c r="AP10" s="87">
        <f t="shared" si="31"/>
        <v>7</v>
      </c>
      <c r="AQ10" s="88">
        <f t="shared" si="32"/>
        <v>45</v>
      </c>
      <c r="AR10" s="88">
        <f t="shared" si="33"/>
        <v>1.9</v>
      </c>
      <c r="AS10" s="88">
        <f t="shared" si="9"/>
        <v>0.35</v>
      </c>
      <c r="AT10" s="88">
        <f t="shared" si="34"/>
        <v>2.25</v>
      </c>
      <c r="AU10" s="89">
        <f t="shared" si="35"/>
        <v>8</v>
      </c>
      <c r="AV10" s="87">
        <v>4</v>
      </c>
      <c r="AW10" s="88">
        <v>20</v>
      </c>
      <c r="AX10" s="88">
        <f t="shared" si="36"/>
        <v>5.9</v>
      </c>
      <c r="AY10" s="88">
        <f t="shared" si="10"/>
        <v>0.2</v>
      </c>
      <c r="AZ10" s="88">
        <f t="shared" si="37"/>
        <v>6.1000000000000005</v>
      </c>
      <c r="BA10" s="89">
        <f t="shared" si="38"/>
        <v>18</v>
      </c>
      <c r="BB10" s="87">
        <v>4</v>
      </c>
      <c r="BC10" s="88">
        <v>20</v>
      </c>
      <c r="BD10" s="88">
        <f t="shared" si="39"/>
        <v>4.0999999999999996</v>
      </c>
      <c r="BE10" s="88">
        <f t="shared" si="11"/>
        <v>0.2</v>
      </c>
      <c r="BF10" s="88">
        <f t="shared" si="40"/>
        <v>4.3</v>
      </c>
      <c r="BG10" s="89">
        <f t="shared" si="41"/>
        <v>54</v>
      </c>
      <c r="BH10" s="88"/>
      <c r="BI10" s="88">
        <f t="shared" si="42"/>
        <v>1295.5968</v>
      </c>
      <c r="BJ10" s="88"/>
      <c r="BK10" s="88"/>
      <c r="BL10" s="88"/>
      <c r="BM10" s="88"/>
      <c r="BN10" s="88"/>
      <c r="BO10" s="88"/>
      <c r="BP10" s="88"/>
      <c r="BQ10" s="88"/>
      <c r="BR10" s="88"/>
      <c r="BS10" s="88"/>
      <c r="BT10" s="88"/>
      <c r="BU10" s="88"/>
    </row>
    <row r="11" spans="2:99" x14ac:dyDescent="0.3">
      <c r="B11">
        <v>6.5</v>
      </c>
      <c r="C11">
        <v>0.7</v>
      </c>
      <c r="D11">
        <v>5.8</v>
      </c>
      <c r="E11">
        <v>3.9</v>
      </c>
      <c r="F11">
        <v>0.65</v>
      </c>
      <c r="G11">
        <v>0.65</v>
      </c>
      <c r="H11">
        <v>1.5</v>
      </c>
      <c r="I11">
        <f t="shared" si="0"/>
        <v>0.6</v>
      </c>
      <c r="J11">
        <f t="shared" si="1"/>
        <v>3.92</v>
      </c>
      <c r="K11">
        <f t="shared" si="12"/>
        <v>2.9</v>
      </c>
      <c r="L11">
        <f t="shared" si="13"/>
        <v>17.052</v>
      </c>
      <c r="M11">
        <v>1.75</v>
      </c>
      <c r="N11">
        <f t="shared" si="2"/>
        <v>109.89066666666666</v>
      </c>
      <c r="O11">
        <f t="shared" si="3"/>
        <v>1.9333333333333331</v>
      </c>
      <c r="P11">
        <f t="shared" si="14"/>
        <v>371.79675555555548</v>
      </c>
      <c r="Q11">
        <f t="shared" si="15"/>
        <v>388.8487555555555</v>
      </c>
      <c r="R11">
        <v>1</v>
      </c>
      <c r="S11">
        <f t="shared" si="16"/>
        <v>0.57000000000000006</v>
      </c>
      <c r="T11">
        <f t="shared" si="17"/>
        <v>1196.825963544338</v>
      </c>
      <c r="U11">
        <f t="shared" si="4"/>
        <v>3082819.9052132703</v>
      </c>
      <c r="V11">
        <f t="shared" si="5"/>
        <v>-315000</v>
      </c>
      <c r="W11">
        <f t="shared" si="18"/>
        <v>3.9523247470149517E-3</v>
      </c>
      <c r="X11">
        <f t="shared" si="19"/>
        <v>2252.8251057985226</v>
      </c>
      <c r="Y11">
        <v>7</v>
      </c>
      <c r="Z11">
        <f t="shared" si="6"/>
        <v>6</v>
      </c>
      <c r="AA11">
        <f t="shared" si="20"/>
        <v>15</v>
      </c>
      <c r="AC11">
        <v>6.5</v>
      </c>
      <c r="AD11" s="87">
        <f t="shared" si="21"/>
        <v>7</v>
      </c>
      <c r="AE11" s="88">
        <f t="shared" si="22"/>
        <v>45</v>
      </c>
      <c r="AF11" s="88">
        <f t="shared" si="23"/>
        <v>6.3</v>
      </c>
      <c r="AG11" s="88">
        <f t="shared" si="7"/>
        <v>0.35</v>
      </c>
      <c r="AH11" s="88">
        <f t="shared" si="24"/>
        <v>6.6499999999999995</v>
      </c>
      <c r="AI11" s="89">
        <f t="shared" si="25"/>
        <v>9</v>
      </c>
      <c r="AJ11" s="87">
        <f t="shared" si="26"/>
        <v>7</v>
      </c>
      <c r="AK11" s="88">
        <f t="shared" si="27"/>
        <v>45</v>
      </c>
      <c r="AL11" s="88">
        <f t="shared" si="28"/>
        <v>4.2</v>
      </c>
      <c r="AM11" s="88">
        <f t="shared" si="8"/>
        <v>0.35</v>
      </c>
      <c r="AN11" s="88">
        <f t="shared" si="29"/>
        <v>4.55</v>
      </c>
      <c r="AO11" s="89">
        <f t="shared" si="30"/>
        <v>9</v>
      </c>
      <c r="AP11" s="87">
        <f t="shared" si="31"/>
        <v>7</v>
      </c>
      <c r="AQ11" s="88">
        <f t="shared" si="32"/>
        <v>45</v>
      </c>
      <c r="AR11" s="88">
        <f t="shared" si="33"/>
        <v>2.1</v>
      </c>
      <c r="AS11" s="88">
        <f t="shared" si="9"/>
        <v>0.35</v>
      </c>
      <c r="AT11" s="88">
        <f t="shared" si="34"/>
        <v>2.4500000000000002</v>
      </c>
      <c r="AU11" s="89">
        <f t="shared" si="35"/>
        <v>9</v>
      </c>
      <c r="AV11" s="87">
        <v>4</v>
      </c>
      <c r="AW11" s="88">
        <v>20</v>
      </c>
      <c r="AX11" s="88">
        <f t="shared" si="36"/>
        <v>6.4</v>
      </c>
      <c r="AY11" s="88">
        <f t="shared" si="10"/>
        <v>0.2</v>
      </c>
      <c r="AZ11" s="88">
        <f t="shared" si="37"/>
        <v>6.6000000000000005</v>
      </c>
      <c r="BA11" s="89">
        <f t="shared" si="38"/>
        <v>19</v>
      </c>
      <c r="BB11" s="87">
        <v>4</v>
      </c>
      <c r="BC11" s="88">
        <v>20</v>
      </c>
      <c r="BD11" s="88">
        <f t="shared" si="39"/>
        <v>4.4000000000000004</v>
      </c>
      <c r="BE11" s="88">
        <f t="shared" si="11"/>
        <v>0.2</v>
      </c>
      <c r="BF11" s="88">
        <f t="shared" si="40"/>
        <v>4.6000000000000005</v>
      </c>
      <c r="BG11" s="89">
        <f t="shared" si="41"/>
        <v>58</v>
      </c>
      <c r="BH11" s="88"/>
      <c r="BI11" s="88">
        <f t="shared" si="42"/>
        <v>1527.1129999999998</v>
      </c>
      <c r="BJ11" s="88"/>
      <c r="BK11" s="88"/>
      <c r="BL11" s="88"/>
      <c r="BM11" s="88"/>
      <c r="BN11" s="88"/>
      <c r="BO11" s="88"/>
      <c r="BP11" s="88"/>
      <c r="BQ11" s="88"/>
      <c r="BR11" s="88"/>
      <c r="BS11" s="88"/>
      <c r="BT11" s="88"/>
      <c r="BU11" s="88"/>
    </row>
    <row r="12" spans="2:99" x14ac:dyDescent="0.3">
      <c r="B12">
        <v>7</v>
      </c>
      <c r="C12">
        <v>0.7</v>
      </c>
      <c r="D12">
        <v>6.3</v>
      </c>
      <c r="E12">
        <v>4.2</v>
      </c>
      <c r="F12">
        <v>0.7</v>
      </c>
      <c r="G12">
        <v>0.7</v>
      </c>
      <c r="H12">
        <v>1.5</v>
      </c>
      <c r="I12">
        <f t="shared" si="0"/>
        <v>0.6</v>
      </c>
      <c r="J12">
        <f t="shared" si="1"/>
        <v>3.92</v>
      </c>
      <c r="K12">
        <f t="shared" si="12"/>
        <v>3.15</v>
      </c>
      <c r="L12">
        <f t="shared" si="13"/>
        <v>18.521999999999998</v>
      </c>
      <c r="M12">
        <v>1.75</v>
      </c>
      <c r="N12">
        <f t="shared" si="2"/>
        <v>129.654</v>
      </c>
      <c r="O12">
        <f t="shared" si="3"/>
        <v>2.0999999999999996</v>
      </c>
      <c r="P12">
        <f t="shared" si="14"/>
        <v>476.4784499999999</v>
      </c>
      <c r="Q12">
        <f t="shared" si="15"/>
        <v>495.00044999999989</v>
      </c>
      <c r="R12">
        <v>1</v>
      </c>
      <c r="S12">
        <f t="shared" si="16"/>
        <v>0.62</v>
      </c>
      <c r="T12">
        <f t="shared" si="17"/>
        <v>1287.7222944849111</v>
      </c>
      <c r="U12">
        <f t="shared" si="4"/>
        <v>3082819.9052132703</v>
      </c>
      <c r="V12">
        <f t="shared" si="5"/>
        <v>-315000</v>
      </c>
      <c r="W12">
        <f t="shared" si="18"/>
        <v>4.2661239421678075E-3</v>
      </c>
      <c r="X12">
        <f t="shared" si="19"/>
        <v>2644.9968441440406</v>
      </c>
      <c r="Y12">
        <v>8</v>
      </c>
      <c r="Z12">
        <f t="shared" si="6"/>
        <v>6</v>
      </c>
      <c r="AA12">
        <f t="shared" si="20"/>
        <v>15</v>
      </c>
      <c r="AC12">
        <v>7</v>
      </c>
      <c r="AD12" s="91">
        <f t="shared" si="21"/>
        <v>8</v>
      </c>
      <c r="AE12" s="92">
        <f t="shared" si="22"/>
        <v>45</v>
      </c>
      <c r="AF12" s="92">
        <f t="shared" si="23"/>
        <v>6.8</v>
      </c>
      <c r="AG12" s="92">
        <f t="shared" si="7"/>
        <v>0.4</v>
      </c>
      <c r="AH12" s="92">
        <f t="shared" si="24"/>
        <v>7.2</v>
      </c>
      <c r="AI12" s="93">
        <f t="shared" si="25"/>
        <v>9</v>
      </c>
      <c r="AJ12" s="91">
        <f t="shared" si="26"/>
        <v>8</v>
      </c>
      <c r="AK12" s="92">
        <f t="shared" si="27"/>
        <v>45</v>
      </c>
      <c r="AL12" s="92">
        <f t="shared" si="28"/>
        <v>4.5</v>
      </c>
      <c r="AM12" s="92">
        <f t="shared" si="8"/>
        <v>0.4</v>
      </c>
      <c r="AN12" s="92">
        <f t="shared" si="29"/>
        <v>4.9000000000000004</v>
      </c>
      <c r="AO12" s="93">
        <f t="shared" si="30"/>
        <v>9</v>
      </c>
      <c r="AP12" s="91">
        <f t="shared" si="31"/>
        <v>8</v>
      </c>
      <c r="AQ12" s="92">
        <f t="shared" si="32"/>
        <v>45</v>
      </c>
      <c r="AR12" s="92">
        <f t="shared" si="33"/>
        <v>2.2000000000000002</v>
      </c>
      <c r="AS12" s="92">
        <f t="shared" si="9"/>
        <v>0.4</v>
      </c>
      <c r="AT12" s="92">
        <f t="shared" si="34"/>
        <v>2.6</v>
      </c>
      <c r="AU12" s="93">
        <f t="shared" si="35"/>
        <v>9</v>
      </c>
      <c r="AV12" s="91">
        <v>4</v>
      </c>
      <c r="AW12" s="92">
        <v>20</v>
      </c>
      <c r="AX12" s="92">
        <f t="shared" si="36"/>
        <v>6.9</v>
      </c>
      <c r="AY12" s="92">
        <f t="shared" si="10"/>
        <v>0.2</v>
      </c>
      <c r="AZ12" s="92">
        <f t="shared" si="37"/>
        <v>7.1000000000000005</v>
      </c>
      <c r="BA12" s="93">
        <f t="shared" si="38"/>
        <v>21</v>
      </c>
      <c r="BB12" s="91">
        <v>4</v>
      </c>
      <c r="BC12" s="92">
        <v>20</v>
      </c>
      <c r="BD12" s="92">
        <f t="shared" si="39"/>
        <v>4.8</v>
      </c>
      <c r="BE12" s="92">
        <f t="shared" si="11"/>
        <v>0.2</v>
      </c>
      <c r="BF12" s="92">
        <f t="shared" si="40"/>
        <v>5</v>
      </c>
      <c r="BG12" s="93">
        <f t="shared" si="41"/>
        <v>62</v>
      </c>
      <c r="BH12" s="88"/>
      <c r="BI12" s="88">
        <f t="shared" si="42"/>
        <v>1963.9466000000002</v>
      </c>
      <c r="BJ12" s="88"/>
      <c r="BK12" s="88"/>
      <c r="BL12" s="88"/>
      <c r="BM12" s="88"/>
      <c r="BN12" s="88"/>
      <c r="BO12" s="88"/>
      <c r="BP12" s="88"/>
      <c r="BQ12" s="88"/>
      <c r="BR12" s="88"/>
      <c r="BS12" s="88"/>
      <c r="BT12" s="88"/>
      <c r="BU12" s="88"/>
    </row>
    <row r="13" spans="2:99" x14ac:dyDescent="0.3">
      <c r="BI13" s="94"/>
    </row>
  </sheetData>
  <mergeCells count="6">
    <mergeCell ref="BB2:BG2"/>
    <mergeCell ref="B1:G1"/>
    <mergeCell ref="AD2:AI2"/>
    <mergeCell ref="AJ2:AO2"/>
    <mergeCell ref="AP2:AU2"/>
    <mergeCell ref="AV2:BA2"/>
  </mergeCells>
  <pageMargins left="0.7" right="0.7" top="0.75" bottom="0.75" header="0.3" footer="0.3"/>
  <pageSetup orientation="portrait" horizontalDpi="1200" verticalDpi="1200" r:id="rId1"/>
</worksheet>
</file>

<file path=customUI/customUI14.xml><?xml version="1.0" encoding="utf-8"?>
<customUI xmlns="http://schemas.microsoft.com/office/2009/07/customui">
  <!--<customUI xmlns='http://schemas.microsoft.com/office/2009/07/customui' onLoad="ribbonLoaded"> -->
  <ribbon>
    <tabs>
      <tab id="bridge" label="Bridge">
        <group id="Report" label="Report">
          <button id="createReport" label="Create" size="large" onAction="createReport" imageMso="GroupPivotTableCalculations"/>
        </group>
        <!-- <group id="Vehicles" label="Vehicles">
					<button id="vehiclesList"
						label="View Vehicles List"
						size="large"
						onAction="activeVehiclesSheet"
						imageMso="ShapeDownArrow"/>
					<labelControl id="nameLinkedAcadDoc" getLabel="getNameLinkedAcadDoc"/>
				</group> -->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154</vt:i4>
      </vt:variant>
    </vt:vector>
  </HeadingPairs>
  <TitlesOfParts>
    <vt:vector size="157" baseType="lpstr">
      <vt:lpstr>abutment</vt:lpstr>
      <vt:lpstr>Verificación</vt:lpstr>
      <vt:lpstr>Aleta</vt:lpstr>
      <vt:lpstr>abutment!A_losa</vt:lpstr>
      <vt:lpstr>abutment!Altura_aleta_estribo</vt:lpstr>
      <vt:lpstr>abutment!Altura_base_estribo</vt:lpstr>
      <vt:lpstr>abutment!Altura_espaldar_estribo</vt:lpstr>
      <vt:lpstr>abutment!Altura_estribo</vt:lpstr>
      <vt:lpstr>abutment!Altura_frenado</vt:lpstr>
      <vt:lpstr>abutment!Altura_talón_estribo</vt:lpstr>
      <vt:lpstr>abutment!Altura_tope_estribo</vt:lpstr>
      <vt:lpstr>abutment!Altura_vástago_estribo</vt:lpstr>
      <vt:lpstr>abutment!altura_viga</vt:lpstr>
      <vt:lpstr>abutment!Ancho_aleta_estribo</vt:lpstr>
      <vt:lpstr>abutment!Ancho_base_estribo</vt:lpstr>
      <vt:lpstr>abutment!Ancho_carpeta_asfáltica</vt:lpstr>
      <vt:lpstr>abutment!Ancho_estribo</vt:lpstr>
      <vt:lpstr>abutment!Ancho_talón_estribo</vt:lpstr>
      <vt:lpstr>abutment!Ancho_tope_estribo</vt:lpstr>
      <vt:lpstr>abutment!Área_andén</vt:lpstr>
      <vt:lpstr>abutment!Área_bordillo</vt:lpstr>
      <vt:lpstr>abutment!base_viga</vt:lpstr>
      <vt:lpstr>abutment!BR</vt:lpstr>
      <vt:lpstr>abutment!BR_1</vt:lpstr>
      <vt:lpstr>abutment!BR_2</vt:lpstr>
      <vt:lpstr>abutment!Cantidad_aletas_estribo</vt:lpstr>
      <vt:lpstr>abutment!Cantidad_topes_estribo</vt:lpstr>
      <vt:lpstr>abutment!Cantidad_vigas</vt:lpstr>
      <vt:lpstr>abutment!Carga_camión_estribo</vt:lpstr>
      <vt:lpstr>abutment!Carga_carril</vt:lpstr>
      <vt:lpstr>abutment!Carga_carril_estribo</vt:lpstr>
      <vt:lpstr>abutment!Carga_primer_eje_camión</vt:lpstr>
      <vt:lpstr>abutment!Carga_primer_eje_tándem</vt:lpstr>
      <vt:lpstr>abutment!Carga_segundo_eje_camión</vt:lpstr>
      <vt:lpstr>abutment!Carga_segundo_eje_tándem</vt:lpstr>
      <vt:lpstr>abutment!Carga_tercer_eje_camión</vt:lpstr>
      <vt:lpstr>abutment!DC</vt:lpstr>
      <vt:lpstr>abutment!DC_estribo</vt:lpstr>
      <vt:lpstr>abutment!DC_losa</vt:lpstr>
      <vt:lpstr>abutment!DC_relleno</vt:lpstr>
      <vt:lpstr>abutment!DC_sobreimpuestas</vt:lpstr>
      <vt:lpstr>abutment!DC_vigas</vt:lpstr>
      <vt:lpstr>abutment!DC_XA_estribo</vt:lpstr>
      <vt:lpstr>abutment!DC_XA_relleno</vt:lpstr>
      <vt:lpstr>abutment!DC_YA_estribo</vt:lpstr>
      <vt:lpstr>abutment!DC_YA_relleno</vt:lpstr>
      <vt:lpstr>abutment!Distancia_base_espaldar</vt:lpstr>
      <vt:lpstr>abutment!Distancia_primer_segundo_eje_camión</vt:lpstr>
      <vt:lpstr>abutment!Distancia_primer_segundo_eje_tándem</vt:lpstr>
      <vt:lpstr>abutment!Distancia_segundo_tercer_eje_camión</vt:lpstr>
      <vt:lpstr>abutment!DW</vt:lpstr>
      <vt:lpstr>abutment!DW_por_longitud</vt:lpstr>
      <vt:lpstr>abutment!Espesor_aleta_base_estribo</vt:lpstr>
      <vt:lpstr>abutment!Espesor_aleta_corona_estribo</vt:lpstr>
      <vt:lpstr>abutment!Espesor_carpeta_asfáltica</vt:lpstr>
      <vt:lpstr>abutment!Espesor_espaldar_estribo</vt:lpstr>
      <vt:lpstr>abutment!Espesor_vástago_estribo</vt:lpstr>
      <vt:lpstr>abutment!Factor_carga_dinámica</vt:lpstr>
      <vt:lpstr>abutment!Factor_presencia_múltiple</vt:lpstr>
      <vt:lpstr>abutment!fig_ang_estribos</vt:lpstr>
      <vt:lpstr>abutment!fig_armadura_retraccion_vastago</vt:lpstr>
      <vt:lpstr>abutment!fig_armadura_retracción_zapata</vt:lpstr>
      <vt:lpstr>abutment!fig_avaluo_DC</vt:lpstr>
      <vt:lpstr>abutment!fig_avaluo_dw</vt:lpstr>
      <vt:lpstr>abutment!fig_avaluo_sobreimpuestas</vt:lpstr>
      <vt:lpstr>abutment!fig_avaluo_vigas</vt:lpstr>
      <vt:lpstr>abutment!fig_carga_viva_estribo_ancho</vt:lpstr>
      <vt:lpstr>abutment!fig_centroide_estribo</vt:lpstr>
      <vt:lpstr>abutment!fig_centroide_peso_relleno</vt:lpstr>
      <vt:lpstr>abutment!fig_clasificacion_sismica</vt:lpstr>
      <vt:lpstr>abutment!fig_comb_Fy</vt:lpstr>
      <vt:lpstr>abutment!fig_comb_momentos_estabilizacion</vt:lpstr>
      <vt:lpstr>abutment!fig_combinaciones_Fx</vt:lpstr>
      <vt:lpstr>abutment!fig_dimensiones_estribo</vt:lpstr>
      <vt:lpstr>abutment!fig_diseño_armadura_puntera_zapata</vt:lpstr>
      <vt:lpstr>abutment!fig_diseño_vastago</vt:lpstr>
      <vt:lpstr>abutment!fig_diseño_zarpa_zapata</vt:lpstr>
      <vt:lpstr>abutment!fig_EH</vt:lpstr>
      <vt:lpstr>abutment!fig_esp_min_vas</vt:lpstr>
      <vt:lpstr>abutment!fig_excentricidad_evento_extremo_I</vt:lpstr>
      <vt:lpstr>abutment!fig_excentricidad_resistencia_I</vt:lpstr>
      <vt:lpstr>abutment!fig_Fpga</vt:lpstr>
      <vt:lpstr>abutment!fig_fuerza_cortante_diseño_puntera_zapata</vt:lpstr>
      <vt:lpstr>abutment!fig_fuerza_cortante_resistente_puntera_zapata</vt:lpstr>
      <vt:lpstr>abutment!fig_fuerza_superestructura</vt:lpstr>
      <vt:lpstr>abutment!fig_fuerzas_superestructura</vt:lpstr>
      <vt:lpstr>abutment!fig_Fy_resumen</vt:lpstr>
      <vt:lpstr>abutment!fig_Hbu</vt:lpstr>
      <vt:lpstr>abutment!fig_info_suelo</vt:lpstr>
      <vt:lpstr>abutment!fig_kAE</vt:lpstr>
      <vt:lpstr>abutment!fig_kh</vt:lpstr>
      <vt:lpstr>abutment!fig_kH0</vt:lpstr>
      <vt:lpstr>abutment!fig_kH0__AS</vt:lpstr>
      <vt:lpstr>abutment!fig_LS_datos_entrada</vt:lpstr>
      <vt:lpstr>abutment!fig_LSx</vt:lpstr>
      <vt:lpstr>abutment!fig_LSy</vt:lpstr>
      <vt:lpstr>abutment!fig_M_seis</vt:lpstr>
      <vt:lpstr>abutment!fig_materiales</vt:lpstr>
      <vt:lpstr>abutment!fig_Mhbu</vt:lpstr>
      <vt:lpstr>abutment!fig_momento_carga_viva_estribo_ancho</vt:lpstr>
      <vt:lpstr>abutment!fig_momento_critico_puntera_zapata</vt:lpstr>
      <vt:lpstr>abutment!fig_momento_critico_vastago</vt:lpstr>
      <vt:lpstr>abutment!fig_momento_critico_zarpa_zapata</vt:lpstr>
      <vt:lpstr>abutment!fig_momento_definitivo_diseño_puntera_zapata</vt:lpstr>
      <vt:lpstr>abutment!fig_momento_diseño_puntera_zapata</vt:lpstr>
      <vt:lpstr>abutment!fig_momento_diseño_zarpa_zapata</vt:lpstr>
      <vt:lpstr>abutment!fig_momento_ultimo_diseño_vástago</vt:lpstr>
      <vt:lpstr>abutment!fig_momento_utimo_zarpa_zapata</vt:lpstr>
      <vt:lpstr>abutment!fig_momentos_desestabilizacion</vt:lpstr>
      <vt:lpstr>abutment!fig_MΔPAE</vt:lpstr>
      <vt:lpstr>abutment!fig_PAE</vt:lpstr>
      <vt:lpstr>abutment!fig_peso_estribo</vt:lpstr>
      <vt:lpstr>abutment!fig_peso_relleno</vt:lpstr>
      <vt:lpstr>abutment!fig_PGA</vt:lpstr>
      <vt:lpstr>abutment!fig_PIR</vt:lpstr>
      <vt:lpstr>abutment!fig_Pseis</vt:lpstr>
      <vt:lpstr>abutment!fig_reaacción_carga_viva_estribo</vt:lpstr>
      <vt:lpstr>abutment!fig_resistencia_suelo</vt:lpstr>
      <vt:lpstr>abutment!fig_resumen_MA</vt:lpstr>
      <vt:lpstr>abutment!fig_resumen_momento_sismo</vt:lpstr>
      <vt:lpstr>abutment!fig_resumen_momento_vastago</vt:lpstr>
      <vt:lpstr>abutment!fig_resumen_Sismo</vt:lpstr>
      <vt:lpstr>abutment!fig_separación_contro_agrietamiento</vt:lpstr>
      <vt:lpstr>abutment!fig_valores_cortante_zapatas</vt:lpstr>
      <vt:lpstr>abutment!fig_ver_cortante_puntera_zapata</vt:lpstr>
      <vt:lpstr>abutment!fig_ver_deslizamiento</vt:lpstr>
      <vt:lpstr>abutment!fig_ver_esf_suelo_estado_limite</vt:lpstr>
      <vt:lpstr>abutment!fig_ver_esf_suelo_resistencia_ultima</vt:lpstr>
      <vt:lpstr>abutment!fig_ver_esp_min_vas</vt:lpstr>
      <vt:lpstr>abutment!fig_y_Hbu</vt:lpstr>
      <vt:lpstr>abutment!fig_y_Pseis</vt:lpstr>
      <vt:lpstr>abutment!fig_y_ΔPAE</vt:lpstr>
      <vt:lpstr>abutment!fig_Δp</vt:lpstr>
      <vt:lpstr>abutment!fig_ΔPAE</vt:lpstr>
      <vt:lpstr>abutment!fig_θ</vt:lpstr>
      <vt:lpstr>abutment!fig_θM0</vt:lpstr>
      <vt:lpstr>abutment!Fv</vt:lpstr>
      <vt:lpstr>abutment!h_eq</vt:lpstr>
      <vt:lpstr>abutment!k</vt:lpstr>
      <vt:lpstr>abutment!L_superestuctura</vt:lpstr>
      <vt:lpstr>abutment!Largo_estribo</vt:lpstr>
      <vt:lpstr>abutment!Largo_tope_estribo</vt:lpstr>
      <vt:lpstr>abutment!LS_X</vt:lpstr>
      <vt:lpstr>abutment!LS_Y</vt:lpstr>
      <vt:lpstr>abutment!Peso_barandas</vt:lpstr>
      <vt:lpstr>abutment!Print_Area</vt:lpstr>
      <vt:lpstr>abutment!qn</vt:lpstr>
      <vt:lpstr>abutment!R_A_DOS_CARRILES</vt:lpstr>
      <vt:lpstr>abutment!R_A_estribo</vt:lpstr>
      <vt:lpstr>abutment!R_A_UN_CARRIL</vt:lpstr>
      <vt:lpstr>abutment!S_1</vt:lpstr>
      <vt:lpstr>abutment!X_A</vt:lpstr>
      <vt:lpstr>abutment!Δp</vt:lpstr>
      <vt:lpstr>abutment!ϒ_suelo</vt:lpstr>
      <vt:lpstr>abutment!φ1</vt:lpstr>
      <vt:lpstr>abutment!φ2</vt:lpstr>
      <vt:lpstr>abutment!φb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Danilinho</dc:creator>
  <cp:lastModifiedBy>Danilinho</cp:lastModifiedBy>
  <cp:lastPrinted>2017-11-22T02:44:40Z</cp:lastPrinted>
  <dcterms:created xsi:type="dcterms:W3CDTF">2017-11-11T22:34:41Z</dcterms:created>
  <dcterms:modified xsi:type="dcterms:W3CDTF">2018-10-16T19:47:14Z</dcterms:modified>
</cp:coreProperties>
</file>